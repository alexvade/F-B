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L:\OPERATIONS ROTA\Weekly Overview &amp; Duty Manager Rota\Morning Sheet and Weekly Overview\10. October 2026\"/>
    </mc:Choice>
  </mc:AlternateContent>
  <xr:revisionPtr revIDLastSave="0" documentId="13_ncr:1_{262DDEC5-7676-4E39-9C65-64A850F86F26}" xr6:coauthVersionLast="47" xr6:coauthVersionMax="47" xr10:uidLastSave="{00000000-0000-0000-0000-000000000000}"/>
  <workbookProtection workbookAlgorithmName="SHA-512" workbookHashValue="G7OM8T7U/1XZTC2PwJNpSiCaneLdcwPfNjTelUNTucr/658+hLmfjcAQCsw4aC9QnZZf3zXLA6HdXw01YqziTw==" workbookSaltValue="nNPEIUnOEC6dtUYne7MghQ==" workbookSpinCount="100000" lockStructure="1"/>
  <bookViews>
    <workbookView xWindow="28680" yWindow="-120" windowWidth="24240" windowHeight="13020" activeTab="2" xr2:uid="{00000000-000D-0000-FFFF-FFFF00000000}"/>
  </bookViews>
  <sheets>
    <sheet name="Data" sheetId="2" r:id="rId1"/>
    <sheet name="Trace Data" sheetId="3" r:id="rId2"/>
    <sheet name="WHH Briefing Sheet" sheetId="1" r:id="rId3"/>
  </sheets>
  <definedNames>
    <definedName name="_xlnm.Print_Area" localSheetId="2">'WHH Briefing Sheet'!$A$1:$N$28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2" i="1" l="1"/>
  <c r="I22" i="1" s="1"/>
  <c r="D26" i="1"/>
  <c r="C26" i="1"/>
  <c r="I26" i="1" s="1"/>
  <c r="B26" i="1"/>
  <c r="A26" i="1"/>
  <c r="D25" i="1"/>
  <c r="C25" i="1"/>
  <c r="I25" i="1" s="1"/>
  <c r="B25" i="1"/>
  <c r="A25" i="1"/>
  <c r="D24" i="1"/>
  <c r="C24" i="1"/>
  <c r="I24" i="1" s="1"/>
  <c r="B24" i="1"/>
  <c r="A24" i="1"/>
  <c r="D23" i="1"/>
  <c r="C23" i="1"/>
  <c r="I23" i="1" s="1"/>
  <c r="B23" i="1"/>
  <c r="A23" i="1"/>
  <c r="D22" i="1"/>
  <c r="B22" i="1"/>
  <c r="A22" i="1"/>
  <c r="D21" i="1"/>
  <c r="C21" i="1"/>
  <c r="I21" i="1" s="1"/>
  <c r="B21" i="1"/>
  <c r="A21" i="1"/>
  <c r="D20" i="1"/>
  <c r="C20" i="1"/>
  <c r="B20" i="1"/>
  <c r="A20" i="1"/>
  <c r="A3" i="1"/>
  <c r="B3" i="1"/>
  <c r="I3" i="1" s="1"/>
  <c r="D3" i="1"/>
  <c r="C3" i="1"/>
  <c r="B1" i="1"/>
  <c r="I20" i="1" l="1"/>
</calcChain>
</file>

<file path=xl/sharedStrings.xml><?xml version="1.0" encoding="utf-8"?>
<sst xmlns="http://schemas.openxmlformats.org/spreadsheetml/2006/main" count="159" uniqueCount="136">
  <si>
    <t>Date:</t>
  </si>
  <si>
    <t>Rooms In House</t>
  </si>
  <si>
    <t>Guests In House</t>
  </si>
  <si>
    <t>Arrival Rooms</t>
  </si>
  <si>
    <t>Departure Rooms</t>
  </si>
  <si>
    <t>Event / Out Guests</t>
  </si>
  <si>
    <t>Floaters</t>
  </si>
  <si>
    <t>Dinner Bookings</t>
  </si>
  <si>
    <t>Afternoon Tea Bookings</t>
  </si>
  <si>
    <t>Comments/Notes</t>
  </si>
  <si>
    <t>Name</t>
  </si>
  <si>
    <t>Event Date</t>
  </si>
  <si>
    <t>Reason</t>
  </si>
  <si>
    <t>NEXT SEVEN DAYS</t>
  </si>
  <si>
    <t>DATE</t>
  </si>
  <si>
    <t>Dinner Covers</t>
  </si>
  <si>
    <t>Afternoon Tea</t>
  </si>
  <si>
    <t>Confirmed Event / Out Bookings</t>
  </si>
  <si>
    <t>Breakfast Covers</t>
  </si>
  <si>
    <t>GPAGEID</t>
  </si>
  <si>
    <t>REC_TYPE</t>
  </si>
  <si>
    <t>REC_TYPE_DESC</t>
  </si>
  <si>
    <t>SUMNO_ROOMSPERREC_TYPE</t>
  </si>
  <si>
    <t>SUMCALC_OCCROOMSPERREC_TYPE</t>
  </si>
  <si>
    <t>SUMCALC_INVROOMSPERREC_TYPE</t>
  </si>
  <si>
    <t>SUMARRIVAL_ROOMSPERREC_TYPE</t>
  </si>
  <si>
    <t>SUMCOMPLIMENTARY_ROOMSPERREC_T</t>
  </si>
  <si>
    <t>SUMHOUSE_USE_ROOMSPERREC_TYPE</t>
  </si>
  <si>
    <t>SUMDAY_USE_ROOMSPERREC_TYPE</t>
  </si>
  <si>
    <t>SUMNO_SHOW_ROOMSPERREC_TYPE</t>
  </si>
  <si>
    <t>SUMIND_DEDUCT_ROOMSPERREC_TYPE</t>
  </si>
  <si>
    <t>SUMIND_NON_DEDUCT_ROOMSPERREC_</t>
  </si>
  <si>
    <t>SUMGRP_DEDUCT_ROOMSPERREC_TYPE</t>
  </si>
  <si>
    <t>SUMGRP_NON_DEDUCT_ROOMSPERREC_</t>
  </si>
  <si>
    <t>SUMDEPARTURE_ROOMSPERREC_TYPE</t>
  </si>
  <si>
    <t>SUMOOO_ROOMSPERREC_TYPE</t>
  </si>
  <si>
    <t>SUMNO_PERSONSPERREC_TYPE</t>
  </si>
  <si>
    <t>SUMINVENTORY_ROOMSPERREC_TYPE</t>
  </si>
  <si>
    <t>SUMREVENUEPERREC_TYPE</t>
  </si>
  <si>
    <t>SUMOWNER_ROOMSPERREC_TYPE</t>
  </si>
  <si>
    <t>SUMFF_ROOMSPERREC_TYPE</t>
  </si>
  <si>
    <t>CF_AVERAGE_ROOM_RATE_REC_TYPE</t>
  </si>
  <si>
    <t>CF_OCCUPANCY_REC_TYPE</t>
  </si>
  <si>
    <t>REVENUE</t>
  </si>
  <si>
    <t>NO_ROOMS</t>
  </si>
  <si>
    <t>IND_DEDUCT_ROOMS</t>
  </si>
  <si>
    <t>IND_NON_DEDUCT_ROOMS</t>
  </si>
  <si>
    <t>GRP_DEDUCT_ROOMS</t>
  </si>
  <si>
    <t>GRP_NON_DEDUCT_ROOMS</t>
  </si>
  <si>
    <t>NO_PERSONS</t>
  </si>
  <si>
    <t>ARRIVAL_ROOMS</t>
  </si>
  <si>
    <t>DEPARTURE_ROOMS</t>
  </si>
  <si>
    <t>COMPLIMENTARY_ROOMS</t>
  </si>
  <si>
    <t>HOUSE_USE_ROOMS</t>
  </si>
  <si>
    <t>DAY_USE_ROOMS</t>
  </si>
  <si>
    <t>NO_SHOW_ROOMS</t>
  </si>
  <si>
    <t>INVENTORY_ROOMS</t>
  </si>
  <si>
    <t>CONSIDERED_DATE</t>
  </si>
  <si>
    <t>CHAR_CONSIDERED_DATE</t>
  </si>
  <si>
    <t>IND_DEDUCT_REVENUE</t>
  </si>
  <si>
    <t>IND_NON_DEDUCT_REVENUE</t>
  </si>
  <si>
    <t>GRP_NON_DEDUCT_REVENUE</t>
  </si>
  <si>
    <t>GRP_DEDUCT_REVENUE</t>
  </si>
  <si>
    <t>OWNER_ROOMS</t>
  </si>
  <si>
    <t>FF_ROOMS</t>
  </si>
  <si>
    <t>CF_OOO_ROOMS</t>
  </si>
  <si>
    <t>CF_CALC_OCC_ROOMS</t>
  </si>
  <si>
    <t>CF_CALC_INV_ROOMS</t>
  </si>
  <si>
    <t>CF_AVERAGE_ROOM_RATE</t>
  </si>
  <si>
    <t>CF_OCCUPANCY</t>
  </si>
  <si>
    <t>CF_IND_DED_REV</t>
  </si>
  <si>
    <t>CF_IND_NON_DED_REV</t>
  </si>
  <si>
    <t>CF_BLK_DED_REV</t>
  </si>
  <si>
    <t>CF_BLK_NON_DED_REV</t>
  </si>
  <si>
    <t>B_FORE</t>
  </si>
  <si>
    <t>Forecast</t>
  </si>
  <si>
    <t>SUMNO_ROOMSPERREPORT</t>
  </si>
  <si>
    <t>SUMARRIVAL_ROOMSPERREPORT</t>
  </si>
  <si>
    <t>SUMCOMPLIMENTARY_ROOMSPERREPOR</t>
  </si>
  <si>
    <t>SUMHOUSE_USE_ROOMSPERREPORT</t>
  </si>
  <si>
    <t>SUMIND_DEDUCT_ROOMSPERREPORT</t>
  </si>
  <si>
    <t>SUMIND_NON_DEDUCT_ROOMSPERREPO</t>
  </si>
  <si>
    <t>SUMGRP_DEDUCT_ROOMSPERREPORT</t>
  </si>
  <si>
    <t>SUMGRP_NON_DEDUCT_ROOMSPERREPO</t>
  </si>
  <si>
    <t>SUMDEPARTURE_ROOMSPERREPORT</t>
  </si>
  <si>
    <t>SUMOOO_ROOMSPERREPORT</t>
  </si>
  <si>
    <t>SUMNO_PERSONSPERREPORT</t>
  </si>
  <si>
    <t>SUMREVENUEPERREPORT</t>
  </si>
  <si>
    <t>SUMINVENTORY_ROOMSPERREPORT</t>
  </si>
  <si>
    <t>CF_AVERAGE_ROOM_RATE_REPORT</t>
  </si>
  <si>
    <t>CF_OCCUPANCY_REPORT</t>
  </si>
  <si>
    <t>SUMOWNER_ROOMSPERREPORT</t>
  </si>
  <si>
    <t>SUMFF_ROOMSPERREPORT</t>
  </si>
  <si>
    <t>SUMCALC_OCCROOMSPERREPORT</t>
  </si>
  <si>
    <t>SUMCALC_INVROOMSPERREPORT</t>
  </si>
  <si>
    <t>SUMDAY_USE_ROOMSPERREPORT</t>
  </si>
  <si>
    <t>SUMNO_SHOW_ROOMSPERREPORT</t>
  </si>
  <si>
    <t>SALES APPOINTMENTS x Next Three Days</t>
  </si>
  <si>
    <t>Early Duty Manager</t>
  </si>
  <si>
    <t>Late Duty Manager</t>
  </si>
  <si>
    <t>Early Walk Round</t>
  </si>
  <si>
    <t>Late Walk Round</t>
  </si>
  <si>
    <t>Duty Management</t>
  </si>
  <si>
    <t>Date/Time</t>
  </si>
  <si>
    <t>Non Resident Dinners</t>
  </si>
  <si>
    <t>Value of Booking</t>
  </si>
  <si>
    <t>Room Number</t>
  </si>
  <si>
    <t>Stay Dates from - to</t>
  </si>
  <si>
    <t>Guest Name</t>
  </si>
  <si>
    <t>.</t>
  </si>
  <si>
    <t>`</t>
  </si>
  <si>
    <t>23/10/26 Fri</t>
  </si>
  <si>
    <t>24/10/26 Sat</t>
  </si>
  <si>
    <t>25/10/26 Sun</t>
  </si>
  <si>
    <t>26/10/26 Mon</t>
  </si>
  <si>
    <t>Ellis</t>
  </si>
  <si>
    <t>23.10.26</t>
  </si>
  <si>
    <t xml:space="preserve">Wedding drop off </t>
  </si>
  <si>
    <t>Mather &amp; Sparkes</t>
  </si>
  <si>
    <t>24.10.26</t>
  </si>
  <si>
    <t>Jamie</t>
  </si>
  <si>
    <t>27/10/26 Tue</t>
  </si>
  <si>
    <t>28/10/26 Wed</t>
  </si>
  <si>
    <t>29/10/26 Thu</t>
  </si>
  <si>
    <t>30/10/26 Fri</t>
  </si>
  <si>
    <t>31/10/26 Sat</t>
  </si>
  <si>
    <t>01/11/26 Sun</t>
  </si>
  <si>
    <t>Jo Mather</t>
  </si>
  <si>
    <t>23.10.26-24.10.26</t>
  </si>
  <si>
    <t>Bride for tommorrow</t>
  </si>
  <si>
    <t>James Harris</t>
  </si>
  <si>
    <t>24.10.26-25.10.26</t>
  </si>
  <si>
    <t>Jo &amp; Malcolm Sparkes</t>
  </si>
  <si>
    <t>Willow</t>
  </si>
  <si>
    <t>Groom getting married at Engine Shed, aware of wedding here. Bride will only come back after wedding. Bottle of Champagne in room. Allocated clean room for him to help with early arrival. Give menus to order room service breakfast for sun morning</t>
  </si>
  <si>
    <t>Please prioritise room as Bride wanting to move across at 12.30pm as has sandwiches booked to go to Willow and to finish getting ready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</si>
</sst>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Red]\-&quot;£&quot;#,##0"/>
    <numFmt numFmtId="164" formatCode="[$-F800]dddd\,\ mmmm\ dd\,\ yyyy"/>
  </numFmts>
  <fonts count="5" x14ac:knownFonts="1">
    <font>
      <sz val="11"/>
      <color theme="1"/>
      <name val="Calibri"/>
      <family val="2"/>
      <scheme val="minor"/>
    </font>
    <font>
      <b/>
      <sz val="11"/>
      <color theme="1"/>
      <name val="Calibri"/>
      <family val="2"/>
      <scheme val="minor"/>
    </font>
    <font>
      <sz val="10"/>
      <name val="Arial"/>
      <family val="2"/>
    </font>
    <font>
      <b/>
      <sz val="10"/>
      <name val="Avenir Next LT Pro"/>
      <family val="2"/>
    </font>
    <font>
      <sz val="10"/>
      <name val="Avenir Next LT Pro"/>
      <family val="2"/>
    </font>
  </fonts>
  <fills count="7">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
      <patternFill patternType="solid">
        <fgColor theme="0"/>
        <bgColor indexed="64"/>
      </patternFill>
    </fill>
    <fill>
      <patternFill patternType="solid">
        <fgColor theme="9" tint="0.59999389629810485"/>
        <bgColor indexed="64"/>
      </patternFill>
    </fill>
    <fill>
      <patternFill patternType="solid">
        <fgColor theme="1"/>
        <bgColor indexed="64"/>
      </patternFill>
    </fill>
  </fills>
  <borders count="41">
    <border>
      <left/>
      <right/>
      <top/>
      <bottom/>
      <diagonal/>
    </border>
    <border>
      <left style="thick">
        <color indexed="64"/>
      </left>
      <right style="thin">
        <color indexed="64"/>
      </right>
      <top style="thick">
        <color indexed="64"/>
      </top>
      <bottom style="thick">
        <color indexed="64"/>
      </bottom>
      <diagonal/>
    </border>
    <border>
      <left style="thin">
        <color indexed="64"/>
      </left>
      <right/>
      <top style="thick">
        <color indexed="64"/>
      </top>
      <bottom style="thick">
        <color indexed="64"/>
      </bottom>
      <diagonal/>
    </border>
    <border>
      <left/>
      <right/>
      <top style="thick">
        <color indexed="64"/>
      </top>
      <bottom style="thick">
        <color indexed="64"/>
      </bottom>
      <diagonal/>
    </border>
    <border>
      <left/>
      <right/>
      <top style="thick">
        <color indexed="64"/>
      </top>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top style="thick">
        <color indexed="64"/>
      </top>
      <bottom/>
      <diagonal/>
    </border>
    <border>
      <left/>
      <right style="thick">
        <color indexed="64"/>
      </right>
      <top style="thick">
        <color indexed="64"/>
      </top>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top/>
      <bottom style="thin">
        <color indexed="64"/>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ck">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ck">
        <color indexed="64"/>
      </right>
      <top style="thin">
        <color indexed="64"/>
      </top>
      <bottom/>
      <diagonal/>
    </border>
    <border>
      <left style="thin">
        <color indexed="64"/>
      </left>
      <right/>
      <top style="thick">
        <color indexed="64"/>
      </top>
      <bottom style="thin">
        <color indexed="64"/>
      </bottom>
      <diagonal/>
    </border>
    <border>
      <left style="thin">
        <color indexed="64"/>
      </left>
      <right/>
      <top style="thin">
        <color indexed="64"/>
      </top>
      <bottom style="thick">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style="thick">
        <color indexed="64"/>
      </right>
      <top style="thin">
        <color indexed="64"/>
      </top>
      <bottom style="thin">
        <color indexed="64"/>
      </bottom>
      <diagonal/>
    </border>
    <border>
      <left style="thin">
        <color indexed="64"/>
      </left>
      <right style="thin">
        <color indexed="64"/>
      </right>
      <top/>
      <bottom style="thick">
        <color indexed="64"/>
      </bottom>
      <diagonal/>
    </border>
    <border>
      <left style="thin">
        <color indexed="64"/>
      </left>
      <right/>
      <top/>
      <bottom style="thick">
        <color indexed="64"/>
      </bottom>
      <diagonal/>
    </border>
    <border>
      <left style="thick">
        <color indexed="64"/>
      </left>
      <right/>
      <top style="thin">
        <color indexed="64"/>
      </top>
      <bottom style="thick">
        <color indexed="64"/>
      </bottom>
      <diagonal/>
    </border>
    <border>
      <left/>
      <right style="thin">
        <color indexed="64"/>
      </right>
      <top style="thin">
        <color indexed="64"/>
      </top>
      <bottom style="thick">
        <color indexed="64"/>
      </bottom>
      <diagonal/>
    </border>
    <border>
      <left style="thick">
        <color indexed="64"/>
      </left>
      <right/>
      <top style="thick">
        <color indexed="64"/>
      </top>
      <bottom style="thin">
        <color indexed="64"/>
      </bottom>
      <diagonal/>
    </border>
    <border>
      <left/>
      <right/>
      <top style="thick">
        <color indexed="64"/>
      </top>
      <bottom style="thin">
        <color indexed="64"/>
      </bottom>
      <diagonal/>
    </border>
    <border>
      <left/>
      <right style="thick">
        <color indexed="64"/>
      </right>
      <top style="thick">
        <color indexed="64"/>
      </top>
      <bottom style="thin">
        <color indexed="64"/>
      </bottom>
      <diagonal/>
    </border>
    <border>
      <left style="medium">
        <color indexed="64"/>
      </left>
      <right/>
      <top style="thin">
        <color indexed="64"/>
      </top>
      <bottom style="thin">
        <color indexed="64"/>
      </bottom>
      <diagonal/>
    </border>
  </borders>
  <cellStyleXfs count="2">
    <xf numFmtId="0" fontId="0" fillId="0" borderId="0"/>
    <xf numFmtId="0" fontId="2" fillId="0" borderId="0"/>
  </cellStyleXfs>
  <cellXfs count="92">
    <xf numFmtId="0" fontId="0" fillId="0" borderId="0" xfId="0"/>
    <xf numFmtId="0" fontId="4" fillId="0" borderId="12" xfId="1" applyFont="1" applyBorder="1" applyAlignment="1" applyProtection="1">
      <alignment horizontal="center" vertical="center" wrapText="1"/>
      <protection locked="0"/>
    </xf>
    <xf numFmtId="15" fontId="0" fillId="0" borderId="0" xfId="0" applyNumberFormat="1"/>
    <xf numFmtId="0" fontId="4" fillId="5" borderId="12" xfId="1" applyFont="1" applyFill="1" applyBorder="1" applyAlignment="1" applyProtection="1">
      <alignment horizontal="center" vertical="center" wrapText="1"/>
      <protection locked="0"/>
    </xf>
    <xf numFmtId="0" fontId="4" fillId="5" borderId="21" xfId="1" applyFont="1" applyFill="1" applyBorder="1" applyAlignment="1" applyProtection="1">
      <alignment horizontal="center" vertical="center" wrapText="1"/>
      <protection locked="0"/>
    </xf>
    <xf numFmtId="14" fontId="0" fillId="0" borderId="0" xfId="0" applyNumberFormat="1"/>
    <xf numFmtId="0" fontId="3" fillId="2" borderId="1" xfId="1" applyFont="1" applyFill="1" applyBorder="1" applyAlignment="1">
      <alignment vertical="center" wrapText="1"/>
    </xf>
    <xf numFmtId="164" fontId="3" fillId="2" borderId="2" xfId="1" applyNumberFormat="1" applyFont="1" applyFill="1" applyBorder="1" applyAlignment="1">
      <alignment horizontal="center" vertical="center"/>
    </xf>
    <xf numFmtId="0" fontId="4" fillId="0" borderId="3" xfId="1" applyFont="1" applyBorder="1" applyAlignment="1">
      <alignment vertical="center"/>
    </xf>
    <xf numFmtId="0" fontId="3" fillId="3" borderId="6" xfId="1" applyFont="1" applyFill="1" applyBorder="1" applyAlignment="1">
      <alignment horizontal="center" vertical="center" wrapText="1"/>
    </xf>
    <xf numFmtId="0" fontId="3" fillId="3" borderId="7" xfId="1" applyFont="1" applyFill="1" applyBorder="1" applyAlignment="1">
      <alignment horizontal="center" vertical="center" wrapText="1"/>
    </xf>
    <xf numFmtId="0" fontId="3" fillId="3" borderId="7" xfId="1" applyFont="1" applyFill="1" applyBorder="1" applyAlignment="1">
      <alignment vertical="center" wrapText="1"/>
    </xf>
    <xf numFmtId="0" fontId="3" fillId="3" borderId="8" xfId="1" applyFont="1" applyFill="1" applyBorder="1" applyAlignment="1">
      <alignment vertical="center" wrapText="1"/>
    </xf>
    <xf numFmtId="0" fontId="3" fillId="3" borderId="8" xfId="1" applyFont="1" applyFill="1" applyBorder="1" applyAlignment="1">
      <alignment horizontal="center" vertical="center" wrapText="1"/>
    </xf>
    <xf numFmtId="0" fontId="4" fillId="3" borderId="20" xfId="1" applyFont="1" applyFill="1" applyBorder="1" applyAlignment="1">
      <alignment horizontal="center" vertical="center" wrapText="1"/>
    </xf>
    <xf numFmtId="0" fontId="4" fillId="3" borderId="21" xfId="1" applyFont="1" applyFill="1" applyBorder="1" applyAlignment="1">
      <alignment horizontal="center" vertical="center" wrapText="1"/>
    </xf>
    <xf numFmtId="0" fontId="4" fillId="3" borderId="22" xfId="1" applyFont="1" applyFill="1" applyBorder="1" applyAlignment="1">
      <alignment horizontal="center" vertical="center" wrapText="1"/>
    </xf>
    <xf numFmtId="14" fontId="3" fillId="3" borderId="13" xfId="1" applyNumberFormat="1" applyFont="1" applyFill="1" applyBorder="1" applyAlignment="1">
      <alignment horizontal="center" vertical="center" wrapText="1"/>
    </xf>
    <xf numFmtId="0" fontId="3" fillId="3" borderId="12" xfId="1" applyFont="1" applyFill="1" applyBorder="1" applyAlignment="1">
      <alignment horizontal="center" vertical="center" wrapText="1"/>
    </xf>
    <xf numFmtId="0" fontId="3" fillId="3" borderId="13" xfId="1" applyFont="1" applyFill="1" applyBorder="1" applyAlignment="1">
      <alignment horizontal="center" vertical="center" wrapText="1"/>
    </xf>
    <xf numFmtId="0" fontId="4" fillId="0" borderId="12" xfId="1" applyFont="1" applyBorder="1" applyAlignment="1">
      <alignment horizontal="center" vertical="center" wrapText="1"/>
    </xf>
    <xf numFmtId="14" fontId="4" fillId="0" borderId="11" xfId="1" applyNumberFormat="1" applyFont="1" applyBorder="1" applyAlignment="1">
      <alignment horizontal="center" vertical="center" wrapText="1"/>
    </xf>
    <xf numFmtId="0" fontId="4" fillId="0" borderId="13" xfId="1" applyFont="1" applyBorder="1" applyAlignment="1">
      <alignment horizontal="center" vertical="center" wrapText="1"/>
    </xf>
    <xf numFmtId="164" fontId="4" fillId="6" borderId="11" xfId="1" applyNumberFormat="1" applyFont="1" applyFill="1" applyBorder="1" applyAlignment="1">
      <alignment horizontal="center" vertical="center" wrapText="1"/>
    </xf>
    <xf numFmtId="20" fontId="4" fillId="6" borderId="12" xfId="1" applyNumberFormat="1" applyFont="1" applyFill="1" applyBorder="1" applyAlignment="1">
      <alignment horizontal="center" vertical="center" wrapText="1"/>
    </xf>
    <xf numFmtId="14" fontId="4" fillId="6" borderId="12" xfId="1" applyNumberFormat="1" applyFont="1" applyFill="1" applyBorder="1" applyAlignment="1">
      <alignment horizontal="center" vertical="center" wrapText="1"/>
    </xf>
    <xf numFmtId="14" fontId="4" fillId="6" borderId="13" xfId="1" applyNumberFormat="1" applyFont="1" applyFill="1" applyBorder="1" applyAlignment="1">
      <alignment horizontal="center" vertical="center" wrapText="1"/>
    </xf>
    <xf numFmtId="14" fontId="4" fillId="0" borderId="20" xfId="1" applyNumberFormat="1" applyFont="1" applyBorder="1" applyAlignment="1">
      <alignment horizontal="center" vertical="center" wrapText="1"/>
    </xf>
    <xf numFmtId="0" fontId="4" fillId="0" borderId="21" xfId="1" applyFont="1" applyBorder="1" applyAlignment="1">
      <alignment horizontal="center" vertical="center" wrapText="1"/>
    </xf>
    <xf numFmtId="0" fontId="4" fillId="6" borderId="20" xfId="1" applyFont="1" applyFill="1" applyBorder="1" applyAlignment="1">
      <alignment horizontal="center" vertical="center" wrapText="1"/>
    </xf>
    <xf numFmtId="6" fontId="4" fillId="6" borderId="21" xfId="1" applyNumberFormat="1" applyFont="1" applyFill="1" applyBorder="1" applyAlignment="1">
      <alignment horizontal="center" vertical="center" wrapText="1"/>
    </xf>
    <xf numFmtId="0" fontId="4" fillId="6" borderId="21" xfId="1" applyFont="1" applyFill="1" applyBorder="1" applyAlignment="1">
      <alignment vertical="center" wrapText="1"/>
    </xf>
    <xf numFmtId="0" fontId="4" fillId="6" borderId="22" xfId="1" applyFont="1" applyFill="1" applyBorder="1" applyAlignment="1">
      <alignment vertical="center" wrapText="1"/>
    </xf>
    <xf numFmtId="0" fontId="3" fillId="3" borderId="28" xfId="1" applyFont="1" applyFill="1" applyBorder="1" applyAlignment="1">
      <alignment horizontal="center" vertical="center" wrapText="1"/>
    </xf>
    <xf numFmtId="0" fontId="4" fillId="0" borderId="30" xfId="1" applyFont="1" applyBorder="1" applyAlignment="1">
      <alignment horizontal="center" vertical="center" wrapText="1"/>
    </xf>
    <xf numFmtId="0" fontId="4" fillId="5" borderId="30" xfId="1" applyFont="1" applyFill="1" applyBorder="1" applyAlignment="1" applyProtection="1">
      <alignment horizontal="center" vertical="center" wrapText="1"/>
      <protection locked="0"/>
    </xf>
    <xf numFmtId="0" fontId="4" fillId="4" borderId="11" xfId="1" applyFont="1" applyFill="1" applyBorder="1" applyAlignment="1" applyProtection="1">
      <alignment horizontal="center" vertical="center" wrapText="1"/>
      <protection locked="0"/>
    </xf>
    <xf numFmtId="0" fontId="4" fillId="0" borderId="13" xfId="1" applyFont="1" applyBorder="1" applyAlignment="1" applyProtection="1">
      <alignment horizontal="center" vertical="center" wrapText="1"/>
      <protection locked="0"/>
    </xf>
    <xf numFmtId="0" fontId="3" fillId="0" borderId="25" xfId="1" applyFont="1" applyBorder="1" applyAlignment="1" applyProtection="1">
      <alignment horizontal="center" vertical="center" wrapText="1"/>
      <protection locked="0"/>
    </xf>
    <xf numFmtId="0" fontId="3" fillId="0" borderId="26" xfId="1" applyFont="1" applyBorder="1" applyAlignment="1" applyProtection="1">
      <alignment horizontal="center" vertical="center" wrapText="1"/>
      <protection locked="0"/>
    </xf>
    <xf numFmtId="0" fontId="3" fillId="0" borderId="27" xfId="1" applyFont="1" applyBorder="1" applyAlignment="1" applyProtection="1">
      <alignment horizontal="center" vertical="center" wrapText="1"/>
      <protection locked="0"/>
    </xf>
    <xf numFmtId="164" fontId="3" fillId="3" borderId="25" xfId="1" applyNumberFormat="1" applyFont="1" applyFill="1" applyBorder="1" applyAlignment="1">
      <alignment horizontal="center" vertical="center" wrapText="1"/>
    </xf>
    <xf numFmtId="0" fontId="4" fillId="5" borderId="33" xfId="1" applyFont="1" applyFill="1" applyBorder="1" applyAlignment="1" applyProtection="1">
      <alignment horizontal="center" vertical="center" wrapText="1"/>
      <protection locked="0"/>
    </xf>
    <xf numFmtId="0" fontId="4" fillId="5" borderId="34" xfId="1" applyFont="1" applyFill="1" applyBorder="1" applyAlignment="1" applyProtection="1">
      <alignment horizontal="center" vertical="center" wrapText="1"/>
      <protection locked="0"/>
    </xf>
    <xf numFmtId="17" fontId="4" fillId="0" borderId="12" xfId="1" applyNumberFormat="1" applyFont="1" applyBorder="1" applyAlignment="1" applyProtection="1">
      <alignment horizontal="center" vertical="center" wrapText="1"/>
      <protection locked="0"/>
    </xf>
    <xf numFmtId="6" fontId="4" fillId="0" borderId="12" xfId="1" applyNumberFormat="1" applyFont="1" applyBorder="1" applyAlignment="1" applyProtection="1">
      <alignment horizontal="center" vertical="center" wrapText="1"/>
      <protection locked="0"/>
    </xf>
    <xf numFmtId="14" fontId="4" fillId="0" borderId="17" xfId="1" applyNumberFormat="1" applyFont="1" applyBorder="1" applyAlignment="1" applyProtection="1">
      <alignment horizontal="center" vertical="center" wrapText="1"/>
      <protection locked="0"/>
    </xf>
    <xf numFmtId="14" fontId="4" fillId="0" borderId="19" xfId="1" applyNumberFormat="1" applyFont="1" applyBorder="1" applyAlignment="1" applyProtection="1">
      <alignment horizontal="center" vertical="center" wrapText="1"/>
      <protection locked="0"/>
    </xf>
    <xf numFmtId="0" fontId="4" fillId="0" borderId="12" xfId="1" applyFont="1" applyBorder="1" applyAlignment="1" applyProtection="1">
      <alignment horizontal="center" vertical="center" wrapText="1"/>
      <protection locked="0"/>
    </xf>
    <xf numFmtId="0" fontId="3" fillId="0" borderId="3" xfId="1" applyFont="1" applyBorder="1" applyAlignment="1">
      <alignment horizontal="center" vertical="center" wrapText="1"/>
    </xf>
    <xf numFmtId="0" fontId="3" fillId="0" borderId="5" xfId="1" applyFont="1" applyBorder="1" applyAlignment="1">
      <alignment horizontal="center" vertical="center" wrapText="1"/>
    </xf>
    <xf numFmtId="0" fontId="3" fillId="0" borderId="9" xfId="1" applyFont="1" applyBorder="1" applyAlignment="1">
      <alignment horizontal="center" vertical="center" wrapText="1"/>
    </xf>
    <xf numFmtId="0" fontId="3" fillId="0" borderId="4" xfId="1" applyFont="1" applyBorder="1" applyAlignment="1">
      <alignment horizontal="center" vertical="center" wrapText="1"/>
    </xf>
    <xf numFmtId="0" fontId="3" fillId="0" borderId="10" xfId="1" applyFont="1" applyBorder="1" applyAlignment="1">
      <alignment horizontal="center" vertical="center" wrapText="1"/>
    </xf>
    <xf numFmtId="0" fontId="4" fillId="0" borderId="15" xfId="1" applyFont="1" applyBorder="1" applyAlignment="1">
      <alignment horizontal="center" vertical="center" wrapText="1"/>
    </xf>
    <xf numFmtId="0" fontId="4" fillId="0" borderId="14" xfId="1" applyFont="1" applyBorder="1" applyAlignment="1">
      <alignment horizontal="center" vertical="center" wrapText="1"/>
    </xf>
    <xf numFmtId="0" fontId="4" fillId="0" borderId="16" xfId="1" applyFont="1" applyBorder="1" applyAlignment="1">
      <alignment horizontal="center" vertical="center" wrapText="1"/>
    </xf>
    <xf numFmtId="14" fontId="3" fillId="3" borderId="23" xfId="1" applyNumberFormat="1" applyFont="1" applyFill="1" applyBorder="1" applyAlignment="1">
      <alignment horizontal="center" vertical="center" wrapText="1"/>
    </xf>
    <xf numFmtId="0" fontId="3" fillId="3" borderId="24" xfId="1" applyFont="1" applyFill="1" applyBorder="1" applyAlignment="1">
      <alignment horizontal="center" vertical="center" wrapText="1"/>
    </xf>
    <xf numFmtId="0" fontId="3" fillId="3" borderId="17" xfId="1" applyFont="1" applyFill="1" applyBorder="1" applyAlignment="1">
      <alignment horizontal="center" vertical="center" wrapText="1"/>
    </xf>
    <xf numFmtId="0" fontId="4" fillId="0" borderId="18" xfId="1" applyFont="1" applyBorder="1" applyAlignment="1">
      <alignment horizontal="center" vertical="center" wrapText="1"/>
    </xf>
    <xf numFmtId="0" fontId="4" fillId="0" borderId="19" xfId="1" applyFont="1" applyBorder="1" applyAlignment="1">
      <alignment horizontal="center" vertical="center" wrapText="1"/>
    </xf>
    <xf numFmtId="14" fontId="3" fillId="3" borderId="11" xfId="1" applyNumberFormat="1" applyFont="1" applyFill="1" applyBorder="1" applyAlignment="1">
      <alignment horizontal="center" vertical="center" wrapText="1"/>
    </xf>
    <xf numFmtId="0" fontId="3" fillId="3" borderId="12" xfId="1" applyFont="1" applyFill="1" applyBorder="1" applyAlignment="1">
      <alignment horizontal="center" vertical="center" wrapText="1"/>
    </xf>
    <xf numFmtId="14" fontId="4" fillId="0" borderId="11" xfId="1" applyNumberFormat="1" applyFont="1" applyBorder="1" applyAlignment="1" applyProtection="1">
      <alignment horizontal="center" vertical="center" wrapText="1"/>
      <protection locked="0"/>
    </xf>
    <xf numFmtId="164" fontId="4" fillId="4" borderId="11" xfId="1" applyNumberFormat="1" applyFont="1" applyFill="1" applyBorder="1" applyAlignment="1" applyProtection="1">
      <alignment horizontal="center" vertical="center" wrapText="1"/>
      <protection locked="0"/>
    </xf>
    <xf numFmtId="0" fontId="0" fillId="0" borderId="12" xfId="0" applyBorder="1" applyAlignment="1" applyProtection="1">
      <alignment horizontal="center" vertical="center" wrapText="1"/>
      <protection locked="0"/>
    </xf>
    <xf numFmtId="0" fontId="0" fillId="0" borderId="11" xfId="0" applyBorder="1" applyAlignment="1" applyProtection="1">
      <alignment horizontal="center" vertical="center" wrapText="1"/>
      <protection locked="0"/>
    </xf>
    <xf numFmtId="164" fontId="4" fillId="4" borderId="12" xfId="1" applyNumberFormat="1" applyFont="1" applyFill="1" applyBorder="1" applyAlignment="1" applyProtection="1">
      <alignment horizontal="center" vertical="center" wrapText="1"/>
      <protection locked="0"/>
    </xf>
    <xf numFmtId="0" fontId="0" fillId="0" borderId="13" xfId="0" applyBorder="1" applyAlignment="1" applyProtection="1">
      <alignment horizontal="center" vertical="center" wrapText="1"/>
      <protection locked="0"/>
    </xf>
    <xf numFmtId="164" fontId="3" fillId="3" borderId="6" xfId="1" applyNumberFormat="1"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3" borderId="8" xfId="0" applyFont="1" applyFill="1" applyBorder="1" applyAlignment="1">
      <alignment horizontal="center" vertical="center" wrapText="1"/>
    </xf>
    <xf numFmtId="164" fontId="3" fillId="4" borderId="11" xfId="1" applyNumberFormat="1" applyFont="1" applyFill="1" applyBorder="1" applyAlignment="1">
      <alignment horizontal="center" vertical="center" wrapText="1"/>
    </xf>
    <xf numFmtId="0" fontId="1" fillId="0" borderId="12" xfId="0" applyFont="1" applyBorder="1" applyAlignment="1">
      <alignment horizontal="center" vertical="center" wrapText="1"/>
    </xf>
    <xf numFmtId="14" fontId="3" fillId="0" borderId="12" xfId="1" applyNumberFormat="1" applyFont="1" applyBorder="1" applyAlignment="1">
      <alignment horizontal="center" vertical="center" wrapText="1"/>
    </xf>
    <xf numFmtId="0" fontId="1" fillId="0" borderId="13" xfId="0" applyFont="1" applyBorder="1" applyAlignment="1">
      <alignment horizontal="center" vertical="center" wrapText="1"/>
    </xf>
    <xf numFmtId="0" fontId="1" fillId="0" borderId="26"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24" xfId="0" applyFont="1" applyBorder="1" applyAlignment="1">
      <alignment horizontal="center" vertical="center" wrapText="1"/>
    </xf>
    <xf numFmtId="0" fontId="4" fillId="0" borderId="29" xfId="1" applyFont="1" applyBorder="1" applyAlignment="1" applyProtection="1">
      <alignment horizontal="center" vertical="center" wrapText="1"/>
      <protection locked="0"/>
    </xf>
    <xf numFmtId="0" fontId="4" fillId="0" borderId="36" xfId="1" applyFont="1" applyBorder="1" applyAlignment="1" applyProtection="1">
      <alignment horizontal="center" vertical="center" wrapText="1"/>
      <protection locked="0"/>
    </xf>
    <xf numFmtId="0" fontId="4" fillId="0" borderId="30" xfId="1" applyFont="1" applyBorder="1" applyAlignment="1" applyProtection="1">
      <alignment horizontal="center" vertical="center" wrapText="1"/>
      <protection locked="0"/>
    </xf>
    <xf numFmtId="14" fontId="4" fillId="3" borderId="37" xfId="1" applyNumberFormat="1" applyFont="1" applyFill="1" applyBorder="1" applyAlignment="1">
      <alignment horizontal="center" vertical="center" wrapText="1"/>
    </xf>
    <xf numFmtId="14" fontId="4" fillId="3" borderId="38" xfId="1" applyNumberFormat="1" applyFont="1" applyFill="1" applyBorder="1" applyAlignment="1">
      <alignment horizontal="center" vertical="center" wrapText="1"/>
    </xf>
    <xf numFmtId="14" fontId="4" fillId="3" borderId="39" xfId="1" applyNumberFormat="1" applyFont="1" applyFill="1" applyBorder="1" applyAlignment="1">
      <alignment horizontal="center" vertical="center" wrapText="1"/>
    </xf>
    <xf numFmtId="14" fontId="4" fillId="0" borderId="35" xfId="1" applyNumberFormat="1" applyFont="1" applyBorder="1" applyAlignment="1" applyProtection="1">
      <alignment horizontal="center" vertical="center" wrapText="1"/>
      <protection locked="0"/>
    </xf>
    <xf numFmtId="14" fontId="4" fillId="0" borderId="36" xfId="1" applyNumberFormat="1" applyFont="1" applyBorder="1" applyAlignment="1" applyProtection="1">
      <alignment horizontal="center" vertical="center" wrapText="1"/>
      <protection locked="0"/>
    </xf>
    <xf numFmtId="0" fontId="4" fillId="0" borderId="19" xfId="1" applyFont="1" applyBorder="1" applyAlignment="1" applyProtection="1">
      <alignment horizontal="center" vertical="center" wrapText="1"/>
      <protection locked="0"/>
    </xf>
    <xf numFmtId="0" fontId="4" fillId="0" borderId="18" xfId="1" applyFont="1" applyBorder="1" applyAlignment="1" applyProtection="1">
      <alignment horizontal="center" vertical="center" wrapText="1"/>
      <protection locked="0"/>
    </xf>
    <xf numFmtId="0" fontId="4" fillId="0" borderId="32" xfId="1" applyFont="1" applyBorder="1" applyAlignment="1" applyProtection="1">
      <alignment horizontal="center" vertical="center" wrapText="1"/>
      <protection locked="0"/>
    </xf>
    <xf numFmtId="14" fontId="4" fillId="0" borderId="40" xfId="1" applyNumberFormat="1" applyFont="1" applyBorder="1" applyAlignment="1" applyProtection="1">
      <alignment horizontal="center" vertical="center" wrapText="1"/>
      <protection locked="0"/>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17"/>
  <sheetViews>
    <sheetView workbookViewId="0">
      <selection sqref="A1:BC14"/>
    </sheetView>
  </sheetViews>
  <sheetFormatPr defaultRowHeight="15" x14ac:dyDescent="0.25"/>
  <cols>
    <col min="39" max="39" width="11.5703125" customWidth="1"/>
  </cols>
  <sheetData>
    <row r="1" spans="1:55" x14ac:dyDescent="0.25">
      <c r="A1" t="s">
        <v>19</v>
      </c>
      <c r="B1" t="s">
        <v>20</v>
      </c>
      <c r="C1" t="s">
        <v>21</v>
      </c>
      <c r="D1" t="s">
        <v>22</v>
      </c>
      <c r="E1" t="s">
        <v>23</v>
      </c>
      <c r="F1" t="s">
        <v>24</v>
      </c>
      <c r="G1" t="s">
        <v>25</v>
      </c>
      <c r="H1" t="s">
        <v>26</v>
      </c>
      <c r="I1" t="s">
        <v>27</v>
      </c>
      <c r="J1" t="s">
        <v>28</v>
      </c>
      <c r="K1" t="s">
        <v>29</v>
      </c>
      <c r="L1" t="s">
        <v>30</v>
      </c>
      <c r="M1" t="s">
        <v>31</v>
      </c>
      <c r="N1" t="s">
        <v>32</v>
      </c>
      <c r="O1" t="s">
        <v>33</v>
      </c>
      <c r="P1" t="s">
        <v>34</v>
      </c>
      <c r="Q1" t="s">
        <v>35</v>
      </c>
      <c r="R1" t="s">
        <v>36</v>
      </c>
      <c r="S1" t="s">
        <v>37</v>
      </c>
      <c r="T1" t="s">
        <v>38</v>
      </c>
      <c r="U1" t="s">
        <v>39</v>
      </c>
      <c r="V1" t="s">
        <v>40</v>
      </c>
      <c r="W1" t="s">
        <v>41</v>
      </c>
      <c r="X1" t="s">
        <v>42</v>
      </c>
      <c r="Y1" t="s">
        <v>43</v>
      </c>
      <c r="Z1" t="s">
        <v>44</v>
      </c>
      <c r="AA1" t="s">
        <v>45</v>
      </c>
      <c r="AB1" t="s">
        <v>46</v>
      </c>
      <c r="AC1" t="s">
        <v>47</v>
      </c>
      <c r="AD1" t="s">
        <v>48</v>
      </c>
      <c r="AE1" t="s">
        <v>49</v>
      </c>
      <c r="AF1" t="s">
        <v>50</v>
      </c>
      <c r="AG1" t="s">
        <v>51</v>
      </c>
      <c r="AH1" t="s">
        <v>52</v>
      </c>
      <c r="AI1" t="s">
        <v>53</v>
      </c>
      <c r="AJ1" t="s">
        <v>54</v>
      </c>
      <c r="AK1" t="s">
        <v>55</v>
      </c>
      <c r="AL1" t="s">
        <v>56</v>
      </c>
      <c r="AM1" t="s">
        <v>57</v>
      </c>
      <c r="AN1" t="s">
        <v>58</v>
      </c>
      <c r="AO1" t="s">
        <v>59</v>
      </c>
      <c r="AP1" t="s">
        <v>60</v>
      </c>
      <c r="AQ1" t="s">
        <v>61</v>
      </c>
      <c r="AR1" t="s">
        <v>62</v>
      </c>
      <c r="AS1" t="s">
        <v>63</v>
      </c>
      <c r="AT1" t="s">
        <v>64</v>
      </c>
      <c r="AU1" t="s">
        <v>65</v>
      </c>
      <c r="AV1" t="s">
        <v>66</v>
      </c>
      <c r="AW1" t="s">
        <v>67</v>
      </c>
      <c r="AX1" t="s">
        <v>68</v>
      </c>
      <c r="AY1" t="s">
        <v>69</v>
      </c>
      <c r="AZ1" t="s">
        <v>70</v>
      </c>
      <c r="BA1" t="s">
        <v>71</v>
      </c>
      <c r="BB1" t="s">
        <v>72</v>
      </c>
      <c r="BC1" t="s">
        <v>73</v>
      </c>
    </row>
    <row r="2" spans="1:55" x14ac:dyDescent="0.25">
      <c r="B2" t="s">
        <v>74</v>
      </c>
      <c r="C2" t="s">
        <v>75</v>
      </c>
      <c r="D2">
        <v>307</v>
      </c>
      <c r="E2">
        <v>307</v>
      </c>
      <c r="F2">
        <v>440</v>
      </c>
      <c r="G2">
        <v>195</v>
      </c>
      <c r="H2">
        <v>0</v>
      </c>
      <c r="I2">
        <v>0</v>
      </c>
      <c r="J2">
        <v>0</v>
      </c>
      <c r="L2">
        <v>154</v>
      </c>
      <c r="M2">
        <v>0</v>
      </c>
      <c r="N2">
        <v>153</v>
      </c>
      <c r="O2">
        <v>0</v>
      </c>
      <c r="P2">
        <v>198</v>
      </c>
      <c r="Q2">
        <v>0</v>
      </c>
      <c r="R2">
        <v>554</v>
      </c>
      <c r="S2">
        <v>440</v>
      </c>
      <c r="T2">
        <v>36429.050000000003</v>
      </c>
      <c r="U2">
        <v>0</v>
      </c>
      <c r="V2">
        <v>0</v>
      </c>
      <c r="W2">
        <v>118.661400651465</v>
      </c>
      <c r="X2">
        <v>69.772727272727195</v>
      </c>
      <c r="Y2">
        <v>4289.6666666666697</v>
      </c>
      <c r="Z2">
        <v>43</v>
      </c>
      <c r="AA2">
        <v>5</v>
      </c>
      <c r="AB2">
        <v>0</v>
      </c>
      <c r="AC2">
        <v>38</v>
      </c>
      <c r="AD2">
        <v>0</v>
      </c>
      <c r="AE2">
        <v>82</v>
      </c>
      <c r="AF2">
        <v>30</v>
      </c>
      <c r="AG2">
        <v>12</v>
      </c>
      <c r="AH2">
        <v>0</v>
      </c>
      <c r="AI2">
        <v>0</v>
      </c>
      <c r="AJ2">
        <v>0</v>
      </c>
      <c r="AL2">
        <v>44</v>
      </c>
      <c r="AM2" s="2">
        <v>46318</v>
      </c>
      <c r="AN2" t="s">
        <v>111</v>
      </c>
      <c r="AO2">
        <v>0</v>
      </c>
      <c r="AP2">
        <v>0</v>
      </c>
      <c r="AQ2">
        <v>0</v>
      </c>
      <c r="AR2">
        <v>4289.6666666666697</v>
      </c>
      <c r="AS2">
        <v>0</v>
      </c>
      <c r="AT2">
        <v>0</v>
      </c>
      <c r="AU2">
        <v>0</v>
      </c>
      <c r="AV2">
        <v>43</v>
      </c>
      <c r="AW2">
        <v>44</v>
      </c>
      <c r="AX2">
        <v>99.759689922480604</v>
      </c>
      <c r="AY2">
        <v>97.727272727272705</v>
      </c>
      <c r="AZ2">
        <v>0</v>
      </c>
      <c r="BB2">
        <v>4289.6666666666697</v>
      </c>
    </row>
    <row r="3" spans="1:55" x14ac:dyDescent="0.25">
      <c r="B3" t="s">
        <v>74</v>
      </c>
      <c r="C3" t="s">
        <v>75</v>
      </c>
      <c r="D3">
        <v>307</v>
      </c>
      <c r="E3">
        <v>307</v>
      </c>
      <c r="F3">
        <v>440</v>
      </c>
      <c r="G3">
        <v>195</v>
      </c>
      <c r="H3">
        <v>0</v>
      </c>
      <c r="I3">
        <v>0</v>
      </c>
      <c r="J3">
        <v>0</v>
      </c>
      <c r="L3">
        <v>154</v>
      </c>
      <c r="M3">
        <v>0</v>
      </c>
      <c r="N3">
        <v>153</v>
      </c>
      <c r="O3">
        <v>0</v>
      </c>
      <c r="P3">
        <v>198</v>
      </c>
      <c r="Q3">
        <v>0</v>
      </c>
      <c r="R3">
        <v>554</v>
      </c>
      <c r="S3">
        <v>440</v>
      </c>
      <c r="T3">
        <v>36429.050000000003</v>
      </c>
      <c r="U3">
        <v>0</v>
      </c>
      <c r="V3">
        <v>0</v>
      </c>
      <c r="W3">
        <v>118.661400651465</v>
      </c>
      <c r="X3">
        <v>69.772727272727195</v>
      </c>
      <c r="Y3">
        <v>3503.8333333333399</v>
      </c>
      <c r="Z3">
        <v>36</v>
      </c>
      <c r="AA3">
        <v>6</v>
      </c>
      <c r="AB3">
        <v>0</v>
      </c>
      <c r="AC3">
        <v>30</v>
      </c>
      <c r="AD3">
        <v>0</v>
      </c>
      <c r="AE3">
        <v>64</v>
      </c>
      <c r="AF3">
        <v>29</v>
      </c>
      <c r="AG3">
        <v>37</v>
      </c>
      <c r="AH3">
        <v>0</v>
      </c>
      <c r="AI3">
        <v>0</v>
      </c>
      <c r="AJ3">
        <v>0</v>
      </c>
      <c r="AL3">
        <v>44</v>
      </c>
      <c r="AM3" s="2">
        <v>46319</v>
      </c>
      <c r="AN3" t="s">
        <v>112</v>
      </c>
      <c r="AO3">
        <v>139.166666666667</v>
      </c>
      <c r="AP3">
        <v>0</v>
      </c>
      <c r="AQ3">
        <v>0</v>
      </c>
      <c r="AR3">
        <v>3364.6666666666702</v>
      </c>
      <c r="AS3">
        <v>0</v>
      </c>
      <c r="AT3">
        <v>0</v>
      </c>
      <c r="AU3">
        <v>0</v>
      </c>
      <c r="AV3">
        <v>36</v>
      </c>
      <c r="AW3">
        <v>44</v>
      </c>
      <c r="AX3">
        <v>97.328703703703894</v>
      </c>
      <c r="AY3">
        <v>81.818181818181799</v>
      </c>
      <c r="AZ3">
        <v>139.166666666667</v>
      </c>
      <c r="BB3">
        <v>3364.6666666666702</v>
      </c>
    </row>
    <row r="4" spans="1:55" x14ac:dyDescent="0.25">
      <c r="B4" t="s">
        <v>74</v>
      </c>
      <c r="C4" t="s">
        <v>75</v>
      </c>
      <c r="D4">
        <v>307</v>
      </c>
      <c r="E4">
        <v>307</v>
      </c>
      <c r="F4">
        <v>440</v>
      </c>
      <c r="G4">
        <v>195</v>
      </c>
      <c r="H4">
        <v>0</v>
      </c>
      <c r="I4">
        <v>0</v>
      </c>
      <c r="J4">
        <v>0</v>
      </c>
      <c r="L4">
        <v>154</v>
      </c>
      <c r="M4">
        <v>0</v>
      </c>
      <c r="N4">
        <v>153</v>
      </c>
      <c r="O4">
        <v>0</v>
      </c>
      <c r="P4">
        <v>198</v>
      </c>
      <c r="Q4">
        <v>0</v>
      </c>
      <c r="R4">
        <v>554</v>
      </c>
      <c r="S4">
        <v>440</v>
      </c>
      <c r="T4">
        <v>36429.050000000003</v>
      </c>
      <c r="U4">
        <v>0</v>
      </c>
      <c r="V4">
        <v>0</v>
      </c>
      <c r="W4">
        <v>118.661400651465</v>
      </c>
      <c r="X4">
        <v>69.772727272727195</v>
      </c>
      <c r="Y4">
        <v>2329.3166666666598</v>
      </c>
      <c r="Z4">
        <v>22</v>
      </c>
      <c r="AA4">
        <v>22</v>
      </c>
      <c r="AB4">
        <v>0</v>
      </c>
      <c r="AC4">
        <v>0</v>
      </c>
      <c r="AD4">
        <v>0</v>
      </c>
      <c r="AE4">
        <v>41</v>
      </c>
      <c r="AF4">
        <v>17</v>
      </c>
      <c r="AG4">
        <v>29</v>
      </c>
      <c r="AH4">
        <v>0</v>
      </c>
      <c r="AI4">
        <v>0</v>
      </c>
      <c r="AJ4">
        <v>0</v>
      </c>
      <c r="AL4">
        <v>44</v>
      </c>
      <c r="AM4" s="2">
        <v>46320</v>
      </c>
      <c r="AN4" t="s">
        <v>113</v>
      </c>
      <c r="AO4">
        <v>2329.3166666666598</v>
      </c>
      <c r="AP4">
        <v>0</v>
      </c>
      <c r="AQ4">
        <v>0</v>
      </c>
      <c r="AR4">
        <v>0</v>
      </c>
      <c r="AS4">
        <v>0</v>
      </c>
      <c r="AT4">
        <v>0</v>
      </c>
      <c r="AU4">
        <v>0</v>
      </c>
      <c r="AV4">
        <v>22</v>
      </c>
      <c r="AW4">
        <v>44</v>
      </c>
      <c r="AX4">
        <v>105.87803030303</v>
      </c>
      <c r="AY4">
        <v>50</v>
      </c>
      <c r="AZ4">
        <v>2329.3166666666598</v>
      </c>
      <c r="BB4">
        <v>0</v>
      </c>
    </row>
    <row r="5" spans="1:55" x14ac:dyDescent="0.25">
      <c r="B5" t="s">
        <v>74</v>
      </c>
      <c r="C5" t="s">
        <v>75</v>
      </c>
      <c r="D5">
        <v>307</v>
      </c>
      <c r="E5">
        <v>307</v>
      </c>
      <c r="F5">
        <v>440</v>
      </c>
      <c r="G5">
        <v>195</v>
      </c>
      <c r="H5">
        <v>0</v>
      </c>
      <c r="I5">
        <v>0</v>
      </c>
      <c r="J5">
        <v>0</v>
      </c>
      <c r="L5">
        <v>154</v>
      </c>
      <c r="M5">
        <v>0</v>
      </c>
      <c r="N5">
        <v>153</v>
      </c>
      <c r="O5">
        <v>0</v>
      </c>
      <c r="P5">
        <v>198</v>
      </c>
      <c r="Q5">
        <v>0</v>
      </c>
      <c r="R5">
        <v>554</v>
      </c>
      <c r="S5">
        <v>440</v>
      </c>
      <c r="T5">
        <v>36429.050000000003</v>
      </c>
      <c r="U5">
        <v>0</v>
      </c>
      <c r="V5">
        <v>0</v>
      </c>
      <c r="W5">
        <v>118.661400651465</v>
      </c>
      <c r="X5">
        <v>69.772727272727195</v>
      </c>
      <c r="Y5">
        <v>3274.0416666666601</v>
      </c>
      <c r="Z5">
        <v>24</v>
      </c>
      <c r="AA5">
        <v>24</v>
      </c>
      <c r="AB5">
        <v>0</v>
      </c>
      <c r="AC5">
        <v>0</v>
      </c>
      <c r="AD5">
        <v>0</v>
      </c>
      <c r="AE5">
        <v>57</v>
      </c>
      <c r="AF5">
        <v>11</v>
      </c>
      <c r="AG5">
        <v>9</v>
      </c>
      <c r="AH5">
        <v>0</v>
      </c>
      <c r="AI5">
        <v>0</v>
      </c>
      <c r="AJ5">
        <v>0</v>
      </c>
      <c r="AL5">
        <v>44</v>
      </c>
      <c r="AM5" s="2">
        <v>46321</v>
      </c>
      <c r="AN5" t="s">
        <v>114</v>
      </c>
      <c r="AO5">
        <v>3274.0416666666601</v>
      </c>
      <c r="AP5">
        <v>0</v>
      </c>
      <c r="AQ5">
        <v>0</v>
      </c>
      <c r="AR5">
        <v>0</v>
      </c>
      <c r="AS5">
        <v>0</v>
      </c>
      <c r="AT5">
        <v>0</v>
      </c>
      <c r="AU5">
        <v>0</v>
      </c>
      <c r="AV5">
        <v>24</v>
      </c>
      <c r="AW5">
        <v>44</v>
      </c>
      <c r="AX5">
        <v>136.418402777777</v>
      </c>
      <c r="AY5">
        <v>54.545454545454497</v>
      </c>
      <c r="AZ5">
        <v>3274.0416666666601</v>
      </c>
      <c r="BB5">
        <v>0</v>
      </c>
    </row>
    <row r="6" spans="1:55" x14ac:dyDescent="0.25">
      <c r="B6" t="s">
        <v>74</v>
      </c>
      <c r="C6" t="s">
        <v>75</v>
      </c>
      <c r="D6">
        <v>307</v>
      </c>
      <c r="E6">
        <v>307</v>
      </c>
      <c r="F6">
        <v>440</v>
      </c>
      <c r="G6">
        <v>195</v>
      </c>
      <c r="H6">
        <v>0</v>
      </c>
      <c r="I6">
        <v>0</v>
      </c>
      <c r="J6">
        <v>0</v>
      </c>
      <c r="L6">
        <v>154</v>
      </c>
      <c r="M6">
        <v>0</v>
      </c>
      <c r="N6">
        <v>153</v>
      </c>
      <c r="O6">
        <v>0</v>
      </c>
      <c r="P6">
        <v>198</v>
      </c>
      <c r="Q6">
        <v>0</v>
      </c>
      <c r="R6">
        <v>554</v>
      </c>
      <c r="S6">
        <v>440</v>
      </c>
      <c r="T6">
        <v>36429.050000000003</v>
      </c>
      <c r="U6">
        <v>0</v>
      </c>
      <c r="V6">
        <v>0</v>
      </c>
      <c r="W6">
        <v>118.661400651465</v>
      </c>
      <c r="X6">
        <v>69.772727272727195</v>
      </c>
      <c r="Y6">
        <v>3157.5666666666598</v>
      </c>
      <c r="Z6">
        <v>23</v>
      </c>
      <c r="AA6">
        <v>23</v>
      </c>
      <c r="AB6">
        <v>0</v>
      </c>
      <c r="AC6">
        <v>0</v>
      </c>
      <c r="AD6">
        <v>0</v>
      </c>
      <c r="AE6">
        <v>46</v>
      </c>
      <c r="AF6">
        <v>11</v>
      </c>
      <c r="AG6">
        <v>12</v>
      </c>
      <c r="AH6">
        <v>0</v>
      </c>
      <c r="AI6">
        <v>0</v>
      </c>
      <c r="AJ6">
        <v>0</v>
      </c>
      <c r="AL6">
        <v>44</v>
      </c>
      <c r="AM6" s="2">
        <v>46322</v>
      </c>
      <c r="AN6" t="s">
        <v>121</v>
      </c>
      <c r="AO6">
        <v>3157.5666666666598</v>
      </c>
      <c r="AP6">
        <v>0</v>
      </c>
      <c r="AQ6">
        <v>0</v>
      </c>
      <c r="AR6">
        <v>0</v>
      </c>
      <c r="AS6">
        <v>0</v>
      </c>
      <c r="AT6">
        <v>0</v>
      </c>
      <c r="AU6">
        <v>0</v>
      </c>
      <c r="AV6">
        <v>23</v>
      </c>
      <c r="AW6">
        <v>44</v>
      </c>
      <c r="AX6">
        <v>137.285507246376</v>
      </c>
      <c r="AY6">
        <v>52.272727272727202</v>
      </c>
      <c r="AZ6">
        <v>3157.5666666666598</v>
      </c>
      <c r="BB6">
        <v>0</v>
      </c>
    </row>
    <row r="7" spans="1:55" x14ac:dyDescent="0.25">
      <c r="B7" t="s">
        <v>74</v>
      </c>
      <c r="C7" t="s">
        <v>75</v>
      </c>
      <c r="D7">
        <v>307</v>
      </c>
      <c r="E7">
        <v>307</v>
      </c>
      <c r="F7">
        <v>440</v>
      </c>
      <c r="G7">
        <v>195</v>
      </c>
      <c r="H7">
        <v>0</v>
      </c>
      <c r="I7">
        <v>0</v>
      </c>
      <c r="J7">
        <v>0</v>
      </c>
      <c r="L7">
        <v>154</v>
      </c>
      <c r="M7">
        <v>0</v>
      </c>
      <c r="N7">
        <v>153</v>
      </c>
      <c r="O7">
        <v>0</v>
      </c>
      <c r="P7">
        <v>198</v>
      </c>
      <c r="Q7">
        <v>0</v>
      </c>
      <c r="R7">
        <v>554</v>
      </c>
      <c r="S7">
        <v>440</v>
      </c>
      <c r="T7">
        <v>36429.050000000003</v>
      </c>
      <c r="U7">
        <v>0</v>
      </c>
      <c r="V7">
        <v>0</v>
      </c>
      <c r="W7">
        <v>118.661400651465</v>
      </c>
      <c r="X7">
        <v>69.772727272727195</v>
      </c>
      <c r="Y7">
        <v>5467.87499999998</v>
      </c>
      <c r="Z7">
        <v>43</v>
      </c>
      <c r="AA7">
        <v>14</v>
      </c>
      <c r="AB7">
        <v>0</v>
      </c>
      <c r="AC7">
        <v>29</v>
      </c>
      <c r="AD7">
        <v>0</v>
      </c>
      <c r="AE7">
        <v>56</v>
      </c>
      <c r="AF7">
        <v>6</v>
      </c>
      <c r="AG7">
        <v>14</v>
      </c>
      <c r="AH7">
        <v>0</v>
      </c>
      <c r="AI7">
        <v>0</v>
      </c>
      <c r="AJ7">
        <v>0</v>
      </c>
      <c r="AL7">
        <v>44</v>
      </c>
      <c r="AM7" s="2">
        <v>46323</v>
      </c>
      <c r="AN7" t="s">
        <v>122</v>
      </c>
      <c r="AO7">
        <v>2108.7083333333298</v>
      </c>
      <c r="AP7">
        <v>0</v>
      </c>
      <c r="AQ7">
        <v>0</v>
      </c>
      <c r="AR7">
        <v>3359.1666666666501</v>
      </c>
      <c r="AS7">
        <v>0</v>
      </c>
      <c r="AT7">
        <v>0</v>
      </c>
      <c r="AU7">
        <v>0</v>
      </c>
      <c r="AV7">
        <v>43</v>
      </c>
      <c r="AW7">
        <v>44</v>
      </c>
      <c r="AX7">
        <v>127.159883720929</v>
      </c>
      <c r="AY7">
        <v>97.727272727272705</v>
      </c>
      <c r="AZ7">
        <v>2108.7083333333298</v>
      </c>
      <c r="BB7">
        <v>3359.1666666666501</v>
      </c>
    </row>
    <row r="8" spans="1:55" x14ac:dyDescent="0.25">
      <c r="B8" t="s">
        <v>74</v>
      </c>
      <c r="C8" t="s">
        <v>75</v>
      </c>
      <c r="D8">
        <v>307</v>
      </c>
      <c r="E8">
        <v>307</v>
      </c>
      <c r="F8">
        <v>440</v>
      </c>
      <c r="G8">
        <v>195</v>
      </c>
      <c r="H8">
        <v>0</v>
      </c>
      <c r="I8">
        <v>0</v>
      </c>
      <c r="J8">
        <v>0</v>
      </c>
      <c r="L8">
        <v>154</v>
      </c>
      <c r="M8">
        <v>0</v>
      </c>
      <c r="N8">
        <v>153</v>
      </c>
      <c r="O8">
        <v>0</v>
      </c>
      <c r="P8">
        <v>198</v>
      </c>
      <c r="Q8">
        <v>0</v>
      </c>
      <c r="R8">
        <v>554</v>
      </c>
      <c r="S8">
        <v>440</v>
      </c>
      <c r="T8">
        <v>36429.050000000003</v>
      </c>
      <c r="U8">
        <v>0</v>
      </c>
      <c r="V8">
        <v>0</v>
      </c>
      <c r="W8">
        <v>118.661400651465</v>
      </c>
      <c r="X8">
        <v>69.772727272727195</v>
      </c>
      <c r="Y8">
        <v>2854.2916666666601</v>
      </c>
      <c r="Z8">
        <v>19</v>
      </c>
      <c r="AA8">
        <v>18</v>
      </c>
      <c r="AB8">
        <v>0</v>
      </c>
      <c r="AC8">
        <v>1</v>
      </c>
      <c r="AD8">
        <v>0</v>
      </c>
      <c r="AE8">
        <v>37</v>
      </c>
      <c r="AF8">
        <v>9</v>
      </c>
      <c r="AG8">
        <v>5</v>
      </c>
      <c r="AH8">
        <v>0</v>
      </c>
      <c r="AI8">
        <v>0</v>
      </c>
      <c r="AJ8">
        <v>0</v>
      </c>
      <c r="AL8">
        <v>44</v>
      </c>
      <c r="AM8" s="2">
        <v>46324</v>
      </c>
      <c r="AN8" t="s">
        <v>123</v>
      </c>
      <c r="AO8">
        <v>2709.625</v>
      </c>
      <c r="AP8">
        <v>0</v>
      </c>
      <c r="AQ8">
        <v>0</v>
      </c>
      <c r="AR8">
        <v>144.666666666667</v>
      </c>
      <c r="AS8">
        <v>0</v>
      </c>
      <c r="AT8">
        <v>0</v>
      </c>
      <c r="AU8">
        <v>0</v>
      </c>
      <c r="AV8">
        <v>19</v>
      </c>
      <c r="AW8">
        <v>44</v>
      </c>
      <c r="AX8">
        <v>150.22587719298201</v>
      </c>
      <c r="AY8">
        <v>43.181818181818102</v>
      </c>
      <c r="AZ8">
        <v>2709.625</v>
      </c>
      <c r="BB8">
        <v>144.666666666667</v>
      </c>
    </row>
    <row r="9" spans="1:55" x14ac:dyDescent="0.25">
      <c r="B9" t="s">
        <v>74</v>
      </c>
      <c r="C9" t="s">
        <v>75</v>
      </c>
      <c r="D9">
        <v>307</v>
      </c>
      <c r="E9">
        <v>307</v>
      </c>
      <c r="F9">
        <v>440</v>
      </c>
      <c r="G9">
        <v>195</v>
      </c>
      <c r="H9">
        <v>0</v>
      </c>
      <c r="I9">
        <v>0</v>
      </c>
      <c r="J9">
        <v>0</v>
      </c>
      <c r="L9">
        <v>154</v>
      </c>
      <c r="M9">
        <v>0</v>
      </c>
      <c r="N9">
        <v>153</v>
      </c>
      <c r="O9">
        <v>0</v>
      </c>
      <c r="P9">
        <v>198</v>
      </c>
      <c r="Q9">
        <v>0</v>
      </c>
      <c r="R9">
        <v>554</v>
      </c>
      <c r="S9">
        <v>440</v>
      </c>
      <c r="T9">
        <v>36429.050000000003</v>
      </c>
      <c r="U9">
        <v>0</v>
      </c>
      <c r="V9">
        <v>0</v>
      </c>
      <c r="W9">
        <v>118.661400651465</v>
      </c>
      <c r="X9">
        <v>69.772727272727195</v>
      </c>
      <c r="Y9">
        <v>3114</v>
      </c>
      <c r="Z9">
        <v>32</v>
      </c>
      <c r="AA9">
        <v>2</v>
      </c>
      <c r="AB9">
        <v>0</v>
      </c>
      <c r="AC9">
        <v>30</v>
      </c>
      <c r="AD9">
        <v>0</v>
      </c>
      <c r="AE9">
        <v>64</v>
      </c>
      <c r="AF9">
        <v>31</v>
      </c>
      <c r="AG9">
        <v>18</v>
      </c>
      <c r="AH9">
        <v>0</v>
      </c>
      <c r="AI9">
        <v>0</v>
      </c>
      <c r="AJ9">
        <v>0</v>
      </c>
      <c r="AL9">
        <v>44</v>
      </c>
      <c r="AM9" s="2">
        <v>46325</v>
      </c>
      <c r="AN9" t="s">
        <v>124</v>
      </c>
      <c r="AO9">
        <v>140</v>
      </c>
      <c r="AP9">
        <v>0</v>
      </c>
      <c r="AQ9">
        <v>0</v>
      </c>
      <c r="AR9">
        <v>2974</v>
      </c>
      <c r="AS9">
        <v>0</v>
      </c>
      <c r="AT9">
        <v>0</v>
      </c>
      <c r="AU9">
        <v>0</v>
      </c>
      <c r="AV9">
        <v>32</v>
      </c>
      <c r="AW9">
        <v>44</v>
      </c>
      <c r="AX9">
        <v>97.3125</v>
      </c>
      <c r="AY9">
        <v>72.727272727272705</v>
      </c>
      <c r="AZ9">
        <v>140</v>
      </c>
      <c r="BB9">
        <v>2974</v>
      </c>
    </row>
    <row r="10" spans="1:55" x14ac:dyDescent="0.25">
      <c r="B10" t="s">
        <v>74</v>
      </c>
      <c r="C10" t="s">
        <v>75</v>
      </c>
      <c r="D10">
        <v>307</v>
      </c>
      <c r="E10">
        <v>307</v>
      </c>
      <c r="F10">
        <v>440</v>
      </c>
      <c r="G10">
        <v>195</v>
      </c>
      <c r="H10">
        <v>0</v>
      </c>
      <c r="I10">
        <v>0</v>
      </c>
      <c r="J10">
        <v>0</v>
      </c>
      <c r="L10">
        <v>154</v>
      </c>
      <c r="M10">
        <v>0</v>
      </c>
      <c r="N10">
        <v>153</v>
      </c>
      <c r="O10">
        <v>0</v>
      </c>
      <c r="P10">
        <v>198</v>
      </c>
      <c r="Q10">
        <v>0</v>
      </c>
      <c r="R10">
        <v>554</v>
      </c>
      <c r="S10">
        <v>440</v>
      </c>
      <c r="T10">
        <v>36429.050000000003</v>
      </c>
      <c r="U10">
        <v>0</v>
      </c>
      <c r="V10">
        <v>0</v>
      </c>
      <c r="W10">
        <v>118.661400651465</v>
      </c>
      <c r="X10">
        <v>69.772727272727195</v>
      </c>
      <c r="Y10">
        <v>4995.55</v>
      </c>
      <c r="Z10">
        <v>34</v>
      </c>
      <c r="AA10">
        <v>31</v>
      </c>
      <c r="AB10">
        <v>0</v>
      </c>
      <c r="AC10">
        <v>3</v>
      </c>
      <c r="AD10">
        <v>0</v>
      </c>
      <c r="AE10">
        <v>68</v>
      </c>
      <c r="AF10">
        <v>32</v>
      </c>
      <c r="AG10">
        <v>30</v>
      </c>
      <c r="AH10">
        <v>0</v>
      </c>
      <c r="AI10">
        <v>0</v>
      </c>
      <c r="AJ10">
        <v>0</v>
      </c>
      <c r="AL10">
        <v>44</v>
      </c>
      <c r="AM10" s="2">
        <v>46326</v>
      </c>
      <c r="AN10" t="s">
        <v>125</v>
      </c>
      <c r="AO10">
        <v>4589.55</v>
      </c>
      <c r="AP10">
        <v>0</v>
      </c>
      <c r="AQ10">
        <v>0</v>
      </c>
      <c r="AR10">
        <v>406</v>
      </c>
      <c r="AS10">
        <v>0</v>
      </c>
      <c r="AT10">
        <v>0</v>
      </c>
      <c r="AU10">
        <v>0</v>
      </c>
      <c r="AV10">
        <v>34</v>
      </c>
      <c r="AW10">
        <v>44</v>
      </c>
      <c r="AX10">
        <v>146.92794117647</v>
      </c>
      <c r="AY10">
        <v>77.272727272727195</v>
      </c>
      <c r="AZ10">
        <v>4589.55</v>
      </c>
      <c r="BB10">
        <v>406</v>
      </c>
    </row>
    <row r="11" spans="1:55" x14ac:dyDescent="0.25">
      <c r="B11" t="s">
        <v>74</v>
      </c>
      <c r="C11" t="s">
        <v>75</v>
      </c>
      <c r="D11">
        <v>307</v>
      </c>
      <c r="E11">
        <v>307</v>
      </c>
      <c r="F11">
        <v>440</v>
      </c>
      <c r="G11">
        <v>195</v>
      </c>
      <c r="H11">
        <v>0</v>
      </c>
      <c r="I11">
        <v>0</v>
      </c>
      <c r="J11">
        <v>0</v>
      </c>
      <c r="L11">
        <v>154</v>
      </c>
      <c r="M11">
        <v>0</v>
      </c>
      <c r="N11">
        <v>153</v>
      </c>
      <c r="O11">
        <v>0</v>
      </c>
      <c r="P11">
        <v>198</v>
      </c>
      <c r="Q11">
        <v>0</v>
      </c>
      <c r="R11">
        <v>554</v>
      </c>
      <c r="S11">
        <v>440</v>
      </c>
      <c r="T11">
        <v>36429.050000000003</v>
      </c>
      <c r="U11">
        <v>0</v>
      </c>
      <c r="V11">
        <v>0</v>
      </c>
      <c r="W11">
        <v>118.661400651465</v>
      </c>
      <c r="X11">
        <v>69.772727272727195</v>
      </c>
      <c r="Y11">
        <v>3442.9083333333401</v>
      </c>
      <c r="Z11">
        <v>31</v>
      </c>
      <c r="AA11">
        <v>9</v>
      </c>
      <c r="AB11">
        <v>0</v>
      </c>
      <c r="AC11">
        <v>22</v>
      </c>
      <c r="AD11">
        <v>0</v>
      </c>
      <c r="AE11">
        <v>39</v>
      </c>
      <c r="AF11">
        <v>19</v>
      </c>
      <c r="AG11">
        <v>32</v>
      </c>
      <c r="AH11">
        <v>0</v>
      </c>
      <c r="AI11">
        <v>0</v>
      </c>
      <c r="AJ11">
        <v>0</v>
      </c>
      <c r="AL11">
        <v>44</v>
      </c>
      <c r="AM11" s="2">
        <v>46327</v>
      </c>
      <c r="AN11" t="s">
        <v>126</v>
      </c>
      <c r="AO11">
        <v>1071.24166666666</v>
      </c>
      <c r="AP11">
        <v>0</v>
      </c>
      <c r="AQ11">
        <v>0</v>
      </c>
      <c r="AR11">
        <v>2371.6666666666702</v>
      </c>
      <c r="AS11">
        <v>0</v>
      </c>
      <c r="AT11">
        <v>0</v>
      </c>
      <c r="AU11">
        <v>0</v>
      </c>
      <c r="AV11">
        <v>31</v>
      </c>
      <c r="AW11">
        <v>44</v>
      </c>
      <c r="AX11">
        <v>111.061559139785</v>
      </c>
      <c r="AY11">
        <v>70.454545454545396</v>
      </c>
      <c r="AZ11">
        <v>1071.24166666666</v>
      </c>
      <c r="BB11">
        <v>2371.6666666666702</v>
      </c>
    </row>
    <row r="12" spans="1:55" x14ac:dyDescent="0.25">
      <c r="A12" t="s">
        <v>76</v>
      </c>
      <c r="B12" t="s">
        <v>77</v>
      </c>
      <c r="C12" t="s">
        <v>78</v>
      </c>
      <c r="D12" t="s">
        <v>79</v>
      </c>
      <c r="E12" t="s">
        <v>80</v>
      </c>
      <c r="F12" t="s">
        <v>81</v>
      </c>
      <c r="G12" t="s">
        <v>82</v>
      </c>
      <c r="H12" t="s">
        <v>83</v>
      </c>
      <c r="I12" t="s">
        <v>84</v>
      </c>
      <c r="J12" t="s">
        <v>85</v>
      </c>
      <c r="K12" t="s">
        <v>86</v>
      </c>
      <c r="L12" t="s">
        <v>87</v>
      </c>
      <c r="M12" t="s">
        <v>88</v>
      </c>
      <c r="N12" t="s">
        <v>89</v>
      </c>
      <c r="O12" t="s">
        <v>90</v>
      </c>
      <c r="P12" t="s">
        <v>91</v>
      </c>
      <c r="Q12" t="s">
        <v>92</v>
      </c>
      <c r="R12" t="s">
        <v>93</v>
      </c>
      <c r="S12" t="s">
        <v>94</v>
      </c>
      <c r="T12" t="s">
        <v>95</v>
      </c>
      <c r="U12" t="s">
        <v>96</v>
      </c>
      <c r="AM12" s="2"/>
    </row>
    <row r="13" spans="1:55" x14ac:dyDescent="0.25">
      <c r="A13">
        <v>307</v>
      </c>
      <c r="B13">
        <v>195</v>
      </c>
      <c r="C13">
        <v>0</v>
      </c>
      <c r="D13">
        <v>0</v>
      </c>
      <c r="E13">
        <v>154</v>
      </c>
      <c r="F13">
        <v>0</v>
      </c>
      <c r="G13">
        <v>153</v>
      </c>
      <c r="H13">
        <v>0</v>
      </c>
      <c r="I13">
        <v>198</v>
      </c>
      <c r="J13">
        <v>0</v>
      </c>
      <c r="K13">
        <v>554</v>
      </c>
      <c r="L13">
        <v>36429.050000000003</v>
      </c>
      <c r="M13">
        <v>440</v>
      </c>
      <c r="N13">
        <v>118.661400651465</v>
      </c>
      <c r="O13">
        <v>69.772727272727195</v>
      </c>
      <c r="P13">
        <v>0</v>
      </c>
      <c r="Q13">
        <v>0</v>
      </c>
      <c r="R13">
        <v>307</v>
      </c>
      <c r="S13">
        <v>440</v>
      </c>
      <c r="T13">
        <v>0</v>
      </c>
      <c r="AM13" s="2"/>
    </row>
    <row r="14" spans="1:55" x14ac:dyDescent="0.25">
      <c r="AM14" s="2"/>
    </row>
    <row r="15" spans="1:55" x14ac:dyDescent="0.25">
      <c r="AM15" s="2"/>
    </row>
    <row r="16" spans="1:55" x14ac:dyDescent="0.25">
      <c r="AM16" s="2"/>
    </row>
    <row r="17" spans="39:39" x14ac:dyDescent="0.25">
      <c r="AM17" s="2"/>
    </row>
  </sheetData>
  <pageMargins left="0.7" right="0.7" top="0.75" bottom="0.75"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C2:AM181"/>
  <sheetViews>
    <sheetView workbookViewId="0">
      <selection activeCell="E23" sqref="E23"/>
    </sheetView>
  </sheetViews>
  <sheetFormatPr defaultRowHeight="15" x14ac:dyDescent="0.25"/>
  <cols>
    <col min="3" max="3" width="12.140625" customWidth="1"/>
    <col min="4" max="4" width="16.42578125" bestFit="1" customWidth="1"/>
    <col min="8" max="8" width="4.85546875" customWidth="1"/>
    <col min="9" max="9" width="13.42578125" customWidth="1"/>
    <col min="10" max="10" width="15.5703125" customWidth="1"/>
  </cols>
  <sheetData>
    <row r="2" spans="3:39" x14ac:dyDescent="0.25">
      <c r="C2" s="2"/>
      <c r="D2" s="5"/>
      <c r="I2" s="5"/>
      <c r="J2" s="5"/>
      <c r="K2" s="5"/>
      <c r="AM2" s="2"/>
    </row>
    <row r="3" spans="3:39" x14ac:dyDescent="0.25">
      <c r="C3" s="2"/>
      <c r="D3" s="5"/>
      <c r="I3" s="5"/>
      <c r="J3" s="5"/>
      <c r="K3" s="5"/>
      <c r="AM3" s="2"/>
    </row>
    <row r="4" spans="3:39" x14ac:dyDescent="0.25">
      <c r="C4" s="2"/>
      <c r="D4" s="5"/>
      <c r="I4" s="5"/>
      <c r="J4" s="5"/>
      <c r="K4" s="5"/>
      <c r="AM4" s="2"/>
    </row>
    <row r="5" spans="3:39" x14ac:dyDescent="0.25">
      <c r="C5" s="2"/>
      <c r="D5" s="5"/>
      <c r="I5" s="5"/>
      <c r="J5" s="5"/>
      <c r="K5" s="5"/>
      <c r="AM5" s="2"/>
    </row>
    <row r="6" spans="3:39" x14ac:dyDescent="0.25">
      <c r="C6" s="2"/>
      <c r="D6" s="5"/>
      <c r="I6" s="5"/>
      <c r="J6" s="5"/>
      <c r="K6" s="5"/>
      <c r="AM6" s="2"/>
    </row>
    <row r="7" spans="3:39" x14ac:dyDescent="0.25">
      <c r="C7" s="2"/>
      <c r="D7" s="5"/>
      <c r="I7" s="5"/>
      <c r="J7" s="5"/>
      <c r="K7" s="5"/>
      <c r="AM7" s="2"/>
    </row>
    <row r="8" spans="3:39" x14ac:dyDescent="0.25">
      <c r="C8" s="2"/>
      <c r="D8" s="5"/>
      <c r="I8" s="5"/>
      <c r="J8" s="5"/>
      <c r="AM8" s="2"/>
    </row>
    <row r="9" spans="3:39" x14ac:dyDescent="0.25">
      <c r="C9" s="2"/>
      <c r="D9" s="5"/>
      <c r="I9" s="5"/>
      <c r="J9" s="5"/>
      <c r="K9" s="5"/>
      <c r="AM9" s="2"/>
    </row>
    <row r="10" spans="3:39" x14ac:dyDescent="0.25">
      <c r="C10" s="2"/>
      <c r="D10" s="5"/>
      <c r="I10" s="5"/>
      <c r="J10" s="5"/>
      <c r="K10" s="5"/>
      <c r="AM10" s="2"/>
    </row>
    <row r="11" spans="3:39" x14ac:dyDescent="0.25">
      <c r="C11" s="2"/>
      <c r="D11" s="5"/>
      <c r="I11" s="5"/>
      <c r="J11" s="5"/>
      <c r="K11" s="5"/>
    </row>
    <row r="12" spans="3:39" x14ac:dyDescent="0.25">
      <c r="C12" s="2"/>
      <c r="D12" s="5"/>
      <c r="I12" s="5"/>
      <c r="J12" s="5"/>
      <c r="K12" s="5"/>
    </row>
    <row r="13" spans="3:39" x14ac:dyDescent="0.25">
      <c r="C13" s="2"/>
      <c r="D13" s="5"/>
      <c r="I13" s="5"/>
      <c r="J13" s="5"/>
      <c r="K13" s="5"/>
    </row>
    <row r="14" spans="3:39" x14ac:dyDescent="0.25">
      <c r="C14" s="2"/>
      <c r="D14" s="5"/>
      <c r="I14" s="5"/>
      <c r="J14" s="5"/>
    </row>
    <row r="15" spans="3:39" x14ac:dyDescent="0.25">
      <c r="C15" s="2"/>
      <c r="D15" s="5"/>
      <c r="I15" s="5"/>
      <c r="J15" s="5"/>
      <c r="K15" s="5"/>
    </row>
    <row r="16" spans="3:39" x14ac:dyDescent="0.25">
      <c r="C16" s="2"/>
      <c r="D16" s="5"/>
      <c r="I16" s="5"/>
      <c r="J16" s="5"/>
      <c r="K16" s="5"/>
    </row>
    <row r="17" spans="3:11" x14ac:dyDescent="0.25">
      <c r="C17" s="2"/>
      <c r="D17" s="5"/>
      <c r="I17" s="5"/>
      <c r="J17" s="5"/>
      <c r="K17" s="5"/>
    </row>
    <row r="18" spans="3:11" x14ac:dyDescent="0.25">
      <c r="C18" s="2"/>
      <c r="D18" s="5"/>
      <c r="I18" s="5"/>
      <c r="J18" s="5"/>
      <c r="K18" s="5"/>
    </row>
    <row r="19" spans="3:11" x14ac:dyDescent="0.25">
      <c r="C19" s="2"/>
      <c r="D19" s="5"/>
      <c r="I19" s="5"/>
      <c r="J19" s="5"/>
      <c r="K19" s="5"/>
    </row>
    <row r="20" spans="3:11" x14ac:dyDescent="0.25">
      <c r="C20" s="2"/>
      <c r="D20" s="5"/>
      <c r="I20" s="5"/>
      <c r="J20" s="5"/>
      <c r="K20" s="5"/>
    </row>
    <row r="21" spans="3:11" x14ac:dyDescent="0.25">
      <c r="C21" s="2"/>
      <c r="D21" s="5"/>
      <c r="I21" s="5"/>
      <c r="J21" s="5"/>
      <c r="K21" s="5"/>
    </row>
    <row r="22" spans="3:11" x14ac:dyDescent="0.25">
      <c r="C22" s="2"/>
      <c r="D22" s="5"/>
      <c r="I22" s="5"/>
      <c r="J22" s="5"/>
      <c r="K22" s="5"/>
    </row>
    <row r="23" spans="3:11" x14ac:dyDescent="0.25">
      <c r="C23" s="2"/>
      <c r="D23" s="5"/>
      <c r="I23" s="5"/>
      <c r="J23" s="5"/>
      <c r="K23" s="5"/>
    </row>
    <row r="24" spans="3:11" x14ac:dyDescent="0.25">
      <c r="C24" s="2"/>
      <c r="D24" s="5"/>
      <c r="I24" s="5"/>
      <c r="J24" s="5"/>
      <c r="K24" s="5"/>
    </row>
    <row r="25" spans="3:11" x14ac:dyDescent="0.25">
      <c r="C25" s="2"/>
      <c r="D25" s="5"/>
      <c r="I25" s="5"/>
      <c r="J25" s="5"/>
      <c r="K25" s="5"/>
    </row>
    <row r="26" spans="3:11" x14ac:dyDescent="0.25">
      <c r="C26" s="2"/>
      <c r="D26" s="5"/>
      <c r="I26" s="5"/>
      <c r="J26" s="5"/>
      <c r="K26" s="5"/>
    </row>
    <row r="27" spans="3:11" x14ac:dyDescent="0.25">
      <c r="C27" s="2"/>
      <c r="D27" s="5"/>
      <c r="I27" s="5"/>
      <c r="J27" s="5"/>
    </row>
    <row r="28" spans="3:11" x14ac:dyDescent="0.25">
      <c r="C28" s="2"/>
      <c r="D28" s="5"/>
      <c r="I28" s="5"/>
      <c r="J28" s="5"/>
    </row>
    <row r="29" spans="3:11" x14ac:dyDescent="0.25">
      <c r="C29" s="2"/>
      <c r="D29" s="5"/>
      <c r="I29" s="5"/>
      <c r="J29" s="5"/>
    </row>
    <row r="30" spans="3:11" x14ac:dyDescent="0.25">
      <c r="C30" s="2"/>
      <c r="D30" s="5"/>
      <c r="I30" s="5"/>
      <c r="J30" s="5"/>
    </row>
    <row r="31" spans="3:11" x14ac:dyDescent="0.25">
      <c r="C31" s="2"/>
      <c r="D31" s="5"/>
      <c r="I31" s="5"/>
      <c r="J31" s="5"/>
    </row>
    <row r="32" spans="3:11" x14ac:dyDescent="0.25">
      <c r="C32" s="2"/>
      <c r="D32" s="5"/>
      <c r="I32" s="5"/>
      <c r="J32" s="5"/>
    </row>
    <row r="33" spans="3:10" x14ac:dyDescent="0.25">
      <c r="C33" s="2"/>
      <c r="D33" s="5"/>
      <c r="I33" s="5"/>
      <c r="J33" s="5"/>
    </row>
    <row r="34" spans="3:10" x14ac:dyDescent="0.25">
      <c r="C34" s="2"/>
      <c r="D34" s="5"/>
      <c r="I34" s="5"/>
      <c r="J34" s="5"/>
    </row>
    <row r="35" spans="3:10" x14ac:dyDescent="0.25">
      <c r="C35" s="2"/>
      <c r="D35" s="5"/>
      <c r="I35" s="5"/>
      <c r="J35" s="5"/>
    </row>
    <row r="36" spans="3:10" x14ac:dyDescent="0.25">
      <c r="C36" s="2"/>
      <c r="D36" s="5"/>
      <c r="I36" s="5"/>
      <c r="J36" s="5"/>
    </row>
    <row r="37" spans="3:10" x14ac:dyDescent="0.25">
      <c r="C37" s="2"/>
      <c r="D37" s="5"/>
      <c r="I37" s="5"/>
      <c r="J37" s="5"/>
    </row>
    <row r="38" spans="3:10" x14ac:dyDescent="0.25">
      <c r="C38" s="2"/>
      <c r="D38" s="5"/>
      <c r="I38" s="5"/>
      <c r="J38" s="5"/>
    </row>
    <row r="39" spans="3:10" x14ac:dyDescent="0.25">
      <c r="C39" s="2"/>
      <c r="D39" s="5"/>
      <c r="I39" s="5"/>
      <c r="J39" s="5"/>
    </row>
    <row r="40" spans="3:10" x14ac:dyDescent="0.25">
      <c r="C40" s="2"/>
      <c r="D40" s="5"/>
      <c r="I40" s="5"/>
      <c r="J40" s="5"/>
    </row>
    <row r="41" spans="3:10" x14ac:dyDescent="0.25">
      <c r="C41" s="2"/>
      <c r="D41" s="5"/>
      <c r="I41" s="5"/>
      <c r="J41" s="5"/>
    </row>
    <row r="42" spans="3:10" x14ac:dyDescent="0.25">
      <c r="C42" s="2"/>
      <c r="D42" s="5"/>
      <c r="I42" s="5"/>
      <c r="J42" s="5"/>
    </row>
    <row r="43" spans="3:10" x14ac:dyDescent="0.25">
      <c r="C43" s="2"/>
      <c r="D43" s="5"/>
      <c r="I43" s="5"/>
      <c r="J43" s="5"/>
    </row>
    <row r="44" spans="3:10" x14ac:dyDescent="0.25">
      <c r="C44" s="2"/>
      <c r="D44" s="5"/>
      <c r="I44" s="5"/>
      <c r="J44" s="5"/>
    </row>
    <row r="45" spans="3:10" x14ac:dyDescent="0.25">
      <c r="C45" s="2"/>
      <c r="D45" s="5"/>
      <c r="I45" s="5"/>
      <c r="J45" s="5"/>
    </row>
    <row r="46" spans="3:10" x14ac:dyDescent="0.25">
      <c r="C46" s="2"/>
      <c r="D46" s="5"/>
      <c r="I46" s="5"/>
      <c r="J46" s="5"/>
    </row>
    <row r="47" spans="3:10" x14ac:dyDescent="0.25">
      <c r="C47" s="2"/>
      <c r="D47" s="5"/>
      <c r="I47" s="5"/>
      <c r="J47" s="5"/>
    </row>
    <row r="48" spans="3:10" x14ac:dyDescent="0.25">
      <c r="C48" s="2"/>
      <c r="D48" s="5"/>
      <c r="I48" s="5"/>
      <c r="J48" s="5"/>
    </row>
    <row r="49" spans="3:10" x14ac:dyDescent="0.25">
      <c r="C49" s="2"/>
      <c r="D49" s="5"/>
      <c r="I49" s="5"/>
      <c r="J49" s="5"/>
    </row>
    <row r="50" spans="3:10" x14ac:dyDescent="0.25">
      <c r="C50" s="2"/>
      <c r="D50" s="5"/>
      <c r="I50" s="5"/>
      <c r="J50" s="5"/>
    </row>
    <row r="51" spans="3:10" x14ac:dyDescent="0.25">
      <c r="C51" s="2"/>
      <c r="D51" s="5"/>
      <c r="I51" s="5"/>
      <c r="J51" s="5"/>
    </row>
    <row r="52" spans="3:10" x14ac:dyDescent="0.25">
      <c r="C52" s="2"/>
      <c r="D52" s="5"/>
      <c r="I52" s="5"/>
      <c r="J52" s="5"/>
    </row>
    <row r="53" spans="3:10" x14ac:dyDescent="0.25">
      <c r="C53" s="2"/>
      <c r="D53" s="5"/>
      <c r="I53" s="5"/>
      <c r="J53" s="5"/>
    </row>
    <row r="55" spans="3:10" x14ac:dyDescent="0.25">
      <c r="C55" s="2"/>
      <c r="D55" s="5"/>
      <c r="I55" s="5"/>
      <c r="J55" s="5"/>
    </row>
    <row r="59" spans="3:10" x14ac:dyDescent="0.25">
      <c r="C59" s="2"/>
      <c r="D59" s="5"/>
      <c r="I59" s="5"/>
      <c r="J59" s="5"/>
    </row>
    <row r="65" spans="3:10" x14ac:dyDescent="0.25">
      <c r="C65" s="2"/>
      <c r="D65" s="5"/>
      <c r="I65" s="5"/>
      <c r="J65" s="5"/>
    </row>
    <row r="67" spans="3:10" x14ac:dyDescent="0.25">
      <c r="C67" s="2"/>
      <c r="D67" s="5"/>
      <c r="I67" s="5"/>
      <c r="J67" s="5"/>
    </row>
    <row r="69" spans="3:10" x14ac:dyDescent="0.25">
      <c r="C69" s="2"/>
      <c r="D69" s="5"/>
      <c r="I69" s="5"/>
      <c r="J69" s="5"/>
    </row>
    <row r="71" spans="3:10" x14ac:dyDescent="0.25">
      <c r="C71" s="2"/>
      <c r="D71" s="5"/>
      <c r="I71" s="5"/>
      <c r="J71" s="5"/>
    </row>
    <row r="77" spans="3:10" x14ac:dyDescent="0.25">
      <c r="C77" s="2"/>
      <c r="D77" s="5"/>
      <c r="I77" s="5"/>
      <c r="J77" s="5"/>
    </row>
    <row r="85" spans="3:10" x14ac:dyDescent="0.25">
      <c r="C85" s="2"/>
      <c r="D85" s="5"/>
      <c r="I85" s="5"/>
      <c r="J85" s="5"/>
    </row>
    <row r="89" spans="3:10" x14ac:dyDescent="0.25">
      <c r="C89" s="2"/>
      <c r="D89" s="5"/>
      <c r="I89" s="5"/>
      <c r="J89" s="5"/>
    </row>
    <row r="91" spans="3:10" x14ac:dyDescent="0.25">
      <c r="C91" s="2"/>
      <c r="D91" s="5"/>
      <c r="I91" s="5"/>
      <c r="J91" s="5"/>
    </row>
    <row r="94" spans="3:10" x14ac:dyDescent="0.25">
      <c r="C94" s="2"/>
      <c r="D94" s="5"/>
      <c r="I94" s="5"/>
      <c r="J94" s="5"/>
    </row>
    <row r="104" spans="3:10" x14ac:dyDescent="0.25">
      <c r="C104" s="2"/>
      <c r="D104" s="5"/>
      <c r="I104" s="5"/>
      <c r="J104" s="5"/>
    </row>
    <row r="106" spans="3:10" x14ac:dyDescent="0.25">
      <c r="C106" s="2"/>
      <c r="D106" s="5"/>
      <c r="I106" s="5"/>
      <c r="J106" s="5"/>
    </row>
    <row r="108" spans="3:10" x14ac:dyDescent="0.25">
      <c r="C108" s="2"/>
      <c r="D108" s="5"/>
      <c r="I108" s="5"/>
      <c r="J108" s="5"/>
    </row>
    <row r="124" spans="3:10" x14ac:dyDescent="0.25">
      <c r="C124" s="2"/>
      <c r="D124" s="5"/>
      <c r="I124" s="5"/>
      <c r="J124" s="5"/>
    </row>
    <row r="126" spans="3:10" x14ac:dyDescent="0.25">
      <c r="C126" s="2"/>
      <c r="D126" s="5"/>
      <c r="I126" s="5"/>
      <c r="J126" s="5"/>
    </row>
    <row r="128" spans="3:10" x14ac:dyDescent="0.25">
      <c r="C128" s="2"/>
      <c r="D128" s="5"/>
      <c r="I128" s="5"/>
      <c r="J128" s="5"/>
    </row>
    <row r="132" spans="3:10" x14ac:dyDescent="0.25">
      <c r="C132" s="2"/>
      <c r="D132" s="5"/>
      <c r="I132" s="5"/>
      <c r="J132" s="5"/>
    </row>
    <row r="138" spans="3:10" x14ac:dyDescent="0.25">
      <c r="C138" s="2"/>
      <c r="D138" s="5"/>
      <c r="I138" s="5"/>
      <c r="J138" s="5"/>
    </row>
    <row r="140" spans="3:10" x14ac:dyDescent="0.25">
      <c r="C140" s="2"/>
      <c r="D140" s="5"/>
      <c r="I140" s="5"/>
      <c r="J140" s="5"/>
    </row>
    <row r="142" spans="3:10" x14ac:dyDescent="0.25">
      <c r="C142" s="2"/>
      <c r="D142" s="5"/>
      <c r="I142" s="5"/>
      <c r="J142" s="5"/>
    </row>
    <row r="144" spans="3:10" x14ac:dyDescent="0.25">
      <c r="C144" s="2"/>
      <c r="D144" s="5"/>
      <c r="I144" s="5"/>
      <c r="J144" s="5"/>
    </row>
    <row r="150" spans="3:10" x14ac:dyDescent="0.25">
      <c r="C150" s="2"/>
      <c r="D150" s="5"/>
      <c r="I150" s="5"/>
      <c r="J150" s="5"/>
    </row>
    <row r="151" spans="3:10" x14ac:dyDescent="0.25">
      <c r="C151" s="2"/>
      <c r="D151" s="5"/>
      <c r="I151" s="5"/>
      <c r="J151" s="5"/>
    </row>
    <row r="152" spans="3:10" x14ac:dyDescent="0.25">
      <c r="C152" s="2"/>
      <c r="D152" s="5"/>
      <c r="I152" s="5"/>
      <c r="J152" s="5"/>
    </row>
    <row r="154" spans="3:10" x14ac:dyDescent="0.25">
      <c r="C154" s="2"/>
      <c r="D154" s="5"/>
      <c r="I154" s="5"/>
      <c r="J154" s="5"/>
    </row>
    <row r="161" spans="3:10" x14ac:dyDescent="0.25">
      <c r="C161" s="2"/>
      <c r="D161" s="5"/>
      <c r="I161" s="5"/>
      <c r="J161" s="5"/>
    </row>
    <row r="162" spans="3:10" x14ac:dyDescent="0.25">
      <c r="C162" s="2"/>
      <c r="D162" s="5"/>
      <c r="I162" s="5"/>
      <c r="J162" s="5"/>
    </row>
    <row r="169" spans="3:10" x14ac:dyDescent="0.25">
      <c r="C169" s="2"/>
      <c r="D169" s="5"/>
      <c r="I169" s="5"/>
      <c r="J169" s="5"/>
    </row>
    <row r="170" spans="3:10" x14ac:dyDescent="0.25">
      <c r="C170" s="2"/>
      <c r="D170" s="5"/>
      <c r="I170" s="5"/>
      <c r="J170" s="5"/>
    </row>
    <row r="177" spans="3:10" x14ac:dyDescent="0.25">
      <c r="C177" s="2"/>
      <c r="D177" s="5"/>
      <c r="I177" s="5"/>
      <c r="J177" s="5"/>
    </row>
    <row r="178" spans="3:10" x14ac:dyDescent="0.25">
      <c r="C178" s="2"/>
      <c r="D178" s="5"/>
      <c r="I178" s="5"/>
      <c r="J178" s="5"/>
    </row>
    <row r="179" spans="3:10" x14ac:dyDescent="0.25">
      <c r="C179" s="2"/>
      <c r="D179" s="5"/>
      <c r="I179" s="5"/>
      <c r="J179" s="5"/>
    </row>
    <row r="180" spans="3:10" x14ac:dyDescent="0.25">
      <c r="C180" s="2"/>
      <c r="D180" s="5"/>
      <c r="I180" s="5"/>
      <c r="J180" s="5"/>
    </row>
    <row r="181" spans="3:10" x14ac:dyDescent="0.25">
      <c r="C181" s="2"/>
      <c r="D181" s="5"/>
      <c r="I181" s="5"/>
      <c r="J181" s="5"/>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N27"/>
  <sheetViews>
    <sheetView tabSelected="1" topLeftCell="A10" zoomScale="70" zoomScaleNormal="70" workbookViewId="0">
      <selection activeCell="F8" sqref="F8:I8"/>
    </sheetView>
  </sheetViews>
  <sheetFormatPr defaultRowHeight="15" x14ac:dyDescent="0.25"/>
  <cols>
    <col min="1" max="1" width="13.42578125" bestFit="1" customWidth="1"/>
    <col min="2" max="2" width="22.85546875" customWidth="1"/>
    <col min="3" max="3" width="16.5703125" customWidth="1"/>
    <col min="4" max="4" width="13.5703125" customWidth="1"/>
    <col min="5" max="5" width="14.42578125" customWidth="1"/>
    <col min="6" max="6" width="10.85546875" customWidth="1"/>
    <col min="7" max="8" width="10.42578125" customWidth="1"/>
    <col min="9" max="9" width="11.5703125" customWidth="1"/>
    <col min="10" max="10" width="21" customWidth="1"/>
    <col min="11" max="12" width="13.140625" customWidth="1"/>
    <col min="13" max="13" width="13.42578125" bestFit="1" customWidth="1"/>
    <col min="14" max="14" width="20.42578125" customWidth="1"/>
  </cols>
  <sheetData>
    <row r="1" spans="1:14" ht="16.5" thickTop="1" thickBot="1" x14ac:dyDescent="0.3">
      <c r="A1" s="6" t="s">
        <v>0</v>
      </c>
      <c r="B1" s="7">
        <f>Data!AM2</f>
        <v>46318</v>
      </c>
      <c r="C1" s="8"/>
      <c r="D1" s="8"/>
      <c r="E1" s="8"/>
      <c r="F1" s="8"/>
      <c r="G1" s="8"/>
      <c r="H1" s="8"/>
      <c r="I1" s="8"/>
      <c r="J1" s="49"/>
      <c r="K1" s="49"/>
      <c r="L1" s="49"/>
      <c r="M1" s="49"/>
      <c r="N1" s="50"/>
    </row>
    <row r="2" spans="1:14" ht="39" thickTop="1" x14ac:dyDescent="0.25">
      <c r="A2" s="9" t="s">
        <v>1</v>
      </c>
      <c r="B2" s="10" t="s">
        <v>2</v>
      </c>
      <c r="C2" s="11" t="s">
        <v>3</v>
      </c>
      <c r="D2" s="12" t="s">
        <v>4</v>
      </c>
      <c r="E2" s="9" t="s">
        <v>8</v>
      </c>
      <c r="F2" s="10" t="s">
        <v>7</v>
      </c>
      <c r="G2" s="10" t="s">
        <v>5</v>
      </c>
      <c r="H2" s="33" t="s">
        <v>104</v>
      </c>
      <c r="I2" s="13" t="s">
        <v>6</v>
      </c>
      <c r="J2" s="51" t="s">
        <v>97</v>
      </c>
      <c r="K2" s="52"/>
      <c r="L2" s="52"/>
      <c r="M2" s="52"/>
      <c r="N2" s="53"/>
    </row>
    <row r="3" spans="1:14" ht="15.75" thickBot="1" x14ac:dyDescent="0.3">
      <c r="A3" s="14">
        <f>Data!Z2</f>
        <v>43</v>
      </c>
      <c r="B3" s="15">
        <f>Data!AE2</f>
        <v>82</v>
      </c>
      <c r="C3" s="15">
        <f>Data!AF2</f>
        <v>30</v>
      </c>
      <c r="D3" s="16">
        <f>Data!AG2</f>
        <v>12</v>
      </c>
      <c r="E3" s="3">
        <v>3</v>
      </c>
      <c r="F3" s="3">
        <v>0</v>
      </c>
      <c r="G3" s="3">
        <v>82</v>
      </c>
      <c r="H3" s="35">
        <v>0</v>
      </c>
      <c r="I3" s="22">
        <f>SUM(B3-(F3+G3))+H3</f>
        <v>0</v>
      </c>
      <c r="J3" s="54"/>
      <c r="K3" s="55"/>
      <c r="L3" s="55"/>
      <c r="M3" s="55"/>
      <c r="N3" s="56"/>
    </row>
    <row r="4" spans="1:14" ht="15.75" thickTop="1" x14ac:dyDescent="0.25">
      <c r="A4" s="57" t="s">
        <v>109</v>
      </c>
      <c r="B4" s="58"/>
      <c r="C4" s="58"/>
      <c r="D4" s="58"/>
      <c r="E4" s="58"/>
      <c r="F4" s="58"/>
      <c r="G4" s="58"/>
      <c r="H4" s="58"/>
      <c r="I4" s="58"/>
      <c r="J4" s="59"/>
      <c r="K4" s="60"/>
      <c r="L4" s="60"/>
      <c r="M4" s="61"/>
      <c r="N4" s="17"/>
    </row>
    <row r="5" spans="1:14" ht="25.5" x14ac:dyDescent="0.25">
      <c r="A5" s="62" t="s">
        <v>108</v>
      </c>
      <c r="B5" s="63"/>
      <c r="C5" s="63" t="s">
        <v>106</v>
      </c>
      <c r="D5" s="63"/>
      <c r="E5" s="18" t="s">
        <v>107</v>
      </c>
      <c r="F5" s="63" t="s">
        <v>9</v>
      </c>
      <c r="G5" s="63"/>
      <c r="H5" s="63"/>
      <c r="I5" s="63"/>
      <c r="J5" s="41" t="s">
        <v>10</v>
      </c>
      <c r="K5" s="18" t="s">
        <v>103</v>
      </c>
      <c r="L5" s="18" t="s">
        <v>105</v>
      </c>
      <c r="M5" s="18" t="s">
        <v>11</v>
      </c>
      <c r="N5" s="19" t="s">
        <v>12</v>
      </c>
    </row>
    <row r="6" spans="1:14" ht="39.75" customHeight="1" x14ac:dyDescent="0.25">
      <c r="A6" s="64" t="s">
        <v>127</v>
      </c>
      <c r="B6" s="48"/>
      <c r="C6" s="48">
        <v>19</v>
      </c>
      <c r="D6" s="48"/>
      <c r="E6" s="1" t="s">
        <v>128</v>
      </c>
      <c r="F6" s="48" t="s">
        <v>129</v>
      </c>
      <c r="G6" s="48"/>
      <c r="H6" s="48"/>
      <c r="I6" s="48"/>
      <c r="J6" s="36" t="s">
        <v>118</v>
      </c>
      <c r="K6" s="1" t="s">
        <v>116</v>
      </c>
      <c r="L6" s="45"/>
      <c r="M6" s="44" t="s">
        <v>119</v>
      </c>
      <c r="N6" s="37" t="s">
        <v>117</v>
      </c>
    </row>
    <row r="7" spans="1:14" ht="91.5" customHeight="1" x14ac:dyDescent="0.25">
      <c r="A7" s="64" t="s">
        <v>130</v>
      </c>
      <c r="B7" s="48"/>
      <c r="C7" s="48">
        <v>18</v>
      </c>
      <c r="D7" s="48"/>
      <c r="E7" s="1" t="s">
        <v>131</v>
      </c>
      <c r="F7" s="48" t="s">
        <v>134</v>
      </c>
      <c r="G7" s="48"/>
      <c r="H7" s="48"/>
      <c r="I7" s="48"/>
      <c r="J7" s="36"/>
      <c r="K7" s="1"/>
      <c r="L7" s="1"/>
      <c r="M7" s="44"/>
      <c r="N7" s="37"/>
    </row>
    <row r="8" spans="1:14" ht="43.5" customHeight="1" x14ac:dyDescent="0.25">
      <c r="A8" s="46" t="s">
        <v>132</v>
      </c>
      <c r="B8" s="47"/>
      <c r="C8" s="48" t="s">
        <v>133</v>
      </c>
      <c r="D8" s="48"/>
      <c r="E8" s="1" t="s">
        <v>131</v>
      </c>
      <c r="F8" s="48" t="s">
        <v>135</v>
      </c>
      <c r="G8" s="48"/>
      <c r="H8" s="48"/>
      <c r="I8" s="48"/>
      <c r="J8" s="36"/>
      <c r="K8" s="1"/>
      <c r="L8" s="1"/>
      <c r="M8" s="44"/>
      <c r="N8" s="37"/>
    </row>
    <row r="9" spans="1:14" ht="43.5" customHeight="1" x14ac:dyDescent="0.25">
      <c r="A9" s="46"/>
      <c r="B9" s="47"/>
      <c r="C9" s="48"/>
      <c r="D9" s="48"/>
      <c r="E9" s="1"/>
      <c r="F9" s="48"/>
      <c r="G9" s="48"/>
      <c r="H9" s="48"/>
      <c r="I9" s="48"/>
      <c r="J9" s="36"/>
      <c r="K9" s="1"/>
      <c r="L9" s="1"/>
      <c r="M9" s="44"/>
      <c r="N9" s="37"/>
    </row>
    <row r="10" spans="1:14" ht="39.950000000000003" customHeight="1" x14ac:dyDescent="0.25">
      <c r="A10" s="46"/>
      <c r="B10" s="47"/>
      <c r="C10" s="82"/>
      <c r="D10" s="88"/>
      <c r="E10" s="1"/>
      <c r="F10" s="82"/>
      <c r="G10" s="89"/>
      <c r="H10" s="89"/>
      <c r="I10" s="90"/>
      <c r="J10" s="36"/>
      <c r="K10" s="1"/>
      <c r="L10" s="1"/>
      <c r="M10" s="44"/>
      <c r="N10" s="37"/>
    </row>
    <row r="11" spans="1:14" ht="57" customHeight="1" x14ac:dyDescent="0.25">
      <c r="A11" s="46"/>
      <c r="B11" s="47"/>
      <c r="C11" s="82"/>
      <c r="D11" s="88"/>
      <c r="E11" s="1"/>
      <c r="F11" s="82"/>
      <c r="G11" s="89"/>
      <c r="H11" s="89"/>
      <c r="I11" s="90"/>
      <c r="J11" s="36"/>
      <c r="K11" s="1"/>
      <c r="L11" s="1"/>
      <c r="M11" s="44"/>
      <c r="N11" s="37"/>
    </row>
    <row r="12" spans="1:14" ht="39.950000000000003" customHeight="1" x14ac:dyDescent="0.25">
      <c r="A12" s="91"/>
      <c r="B12" s="47"/>
      <c r="C12" s="82"/>
      <c r="D12" s="88"/>
      <c r="E12" s="1"/>
      <c r="F12" s="48"/>
      <c r="G12" s="48"/>
      <c r="H12" s="48"/>
      <c r="I12" s="48"/>
      <c r="J12" s="36"/>
      <c r="K12" s="1"/>
      <c r="L12" s="1"/>
      <c r="M12" s="1"/>
      <c r="N12" s="37"/>
    </row>
    <row r="13" spans="1:14" ht="39.950000000000003" customHeight="1" x14ac:dyDescent="0.25">
      <c r="A13" s="46"/>
      <c r="B13" s="47"/>
      <c r="C13" s="82"/>
      <c r="D13" s="88"/>
      <c r="E13" s="1"/>
      <c r="F13" s="82"/>
      <c r="G13" s="89"/>
      <c r="H13" s="89"/>
      <c r="I13" s="90"/>
      <c r="J13" s="36"/>
      <c r="K13" s="1"/>
      <c r="L13" s="1"/>
      <c r="M13" s="1"/>
      <c r="N13" s="37"/>
    </row>
    <row r="14" spans="1:14" ht="39.950000000000003" customHeight="1" x14ac:dyDescent="0.25">
      <c r="A14" s="46"/>
      <c r="B14" s="47"/>
      <c r="C14" s="82"/>
      <c r="D14" s="88"/>
      <c r="E14" s="1"/>
      <c r="F14" s="82"/>
      <c r="G14" s="89"/>
      <c r="H14" s="89"/>
      <c r="I14" s="90"/>
      <c r="J14" s="38"/>
      <c r="K14" s="39"/>
      <c r="L14" s="39"/>
      <c r="M14" s="39"/>
      <c r="N14" s="40"/>
    </row>
    <row r="15" spans="1:14" ht="39.950000000000003" customHeight="1" x14ac:dyDescent="0.25">
      <c r="A15" s="64"/>
      <c r="B15" s="48"/>
      <c r="C15" s="48"/>
      <c r="D15" s="48"/>
      <c r="E15" s="1"/>
      <c r="F15" s="48"/>
      <c r="G15" s="48"/>
      <c r="H15" s="48"/>
      <c r="I15" s="48"/>
      <c r="J15" s="36"/>
      <c r="K15" s="1"/>
      <c r="L15" s="1"/>
      <c r="M15" s="1"/>
      <c r="N15" s="37"/>
    </row>
    <row r="16" spans="1:14" ht="39.950000000000003" customHeight="1" thickBot="1" x14ac:dyDescent="0.3">
      <c r="A16" s="64"/>
      <c r="B16" s="48"/>
      <c r="C16" s="48"/>
      <c r="D16" s="48"/>
      <c r="E16" s="1"/>
      <c r="F16" s="48"/>
      <c r="G16" s="48"/>
      <c r="H16" s="48"/>
      <c r="I16" s="48"/>
      <c r="J16" s="38"/>
      <c r="K16" s="39"/>
      <c r="L16" s="39"/>
      <c r="M16" s="39"/>
      <c r="N16" s="40"/>
    </row>
    <row r="17" spans="1:14" ht="45.75" customHeight="1" thickTop="1" thickBot="1" x14ac:dyDescent="0.3">
      <c r="A17" s="86"/>
      <c r="B17" s="87"/>
      <c r="C17" s="80"/>
      <c r="D17" s="81"/>
      <c r="E17" s="1"/>
      <c r="F17" s="48"/>
      <c r="G17" s="48"/>
      <c r="H17" s="48"/>
      <c r="I17" s="82"/>
      <c r="J17" s="70" t="s">
        <v>102</v>
      </c>
      <c r="K17" s="71"/>
      <c r="L17" s="71"/>
      <c r="M17" s="71"/>
      <c r="N17" s="72"/>
    </row>
    <row r="18" spans="1:14" ht="15.75" thickTop="1" x14ac:dyDescent="0.25">
      <c r="A18" s="83" t="s">
        <v>13</v>
      </c>
      <c r="B18" s="84"/>
      <c r="C18" s="84"/>
      <c r="D18" s="84"/>
      <c r="E18" s="84"/>
      <c r="F18" s="84"/>
      <c r="G18" s="84"/>
      <c r="H18" s="84"/>
      <c r="I18" s="85"/>
      <c r="J18" s="73" t="s">
        <v>98</v>
      </c>
      <c r="K18" s="74"/>
      <c r="L18" s="77" t="s">
        <v>110</v>
      </c>
      <c r="M18" s="75" t="s">
        <v>99</v>
      </c>
      <c r="N18" s="76"/>
    </row>
    <row r="19" spans="1:14" ht="51" x14ac:dyDescent="0.25">
      <c r="A19" s="21" t="s">
        <v>14</v>
      </c>
      <c r="B19" s="20" t="s">
        <v>1</v>
      </c>
      <c r="C19" s="20" t="s">
        <v>2</v>
      </c>
      <c r="D19" s="20" t="s">
        <v>18</v>
      </c>
      <c r="E19" s="20" t="s">
        <v>16</v>
      </c>
      <c r="F19" s="20" t="s">
        <v>15</v>
      </c>
      <c r="G19" s="20" t="s">
        <v>17</v>
      </c>
      <c r="H19" s="34" t="s">
        <v>104</v>
      </c>
      <c r="I19" s="22" t="s">
        <v>6</v>
      </c>
      <c r="J19" s="65" t="s">
        <v>120</v>
      </c>
      <c r="K19" s="66"/>
      <c r="L19" s="78"/>
      <c r="M19" s="68" t="s">
        <v>115</v>
      </c>
      <c r="N19" s="69"/>
    </row>
    <row r="20" spans="1:14" x14ac:dyDescent="0.25">
      <c r="A20" s="21">
        <f>Data!AM3</f>
        <v>46319</v>
      </c>
      <c r="B20" s="20">
        <f>Data!Z3</f>
        <v>36</v>
      </c>
      <c r="C20" s="20">
        <f>Data!AE3</f>
        <v>64</v>
      </c>
      <c r="D20" s="20">
        <f>Data!AE2</f>
        <v>82</v>
      </c>
      <c r="E20" s="3">
        <v>3</v>
      </c>
      <c r="F20" s="3">
        <v>0</v>
      </c>
      <c r="G20" s="3">
        <v>64</v>
      </c>
      <c r="H20" s="35">
        <v>0</v>
      </c>
      <c r="I20" s="22">
        <f>SUM(C20-(F20+G20))+H20</f>
        <v>0</v>
      </c>
      <c r="J20" s="67"/>
      <c r="K20" s="66"/>
      <c r="L20" s="78"/>
      <c r="M20" s="66"/>
      <c r="N20" s="69"/>
    </row>
    <row r="21" spans="1:14" x14ac:dyDescent="0.25">
      <c r="A21" s="21">
        <f>Data!AM4</f>
        <v>46320</v>
      </c>
      <c r="B21" s="20">
        <f>Data!Z4</f>
        <v>22</v>
      </c>
      <c r="C21" s="20">
        <f>Data!AE4</f>
        <v>41</v>
      </c>
      <c r="D21" s="20">
        <f>Data!AE3</f>
        <v>64</v>
      </c>
      <c r="E21" s="3">
        <v>9</v>
      </c>
      <c r="F21" s="3">
        <v>4</v>
      </c>
      <c r="G21" s="3">
        <v>4</v>
      </c>
      <c r="H21" s="35">
        <v>0</v>
      </c>
      <c r="I21" s="22">
        <f t="shared" ref="I21:I26" si="0">SUM(C21-(F21+G21))+H21</f>
        <v>33</v>
      </c>
      <c r="J21" s="73" t="s">
        <v>100</v>
      </c>
      <c r="K21" s="74"/>
      <c r="L21" s="78"/>
      <c r="M21" s="75" t="s">
        <v>101</v>
      </c>
      <c r="N21" s="76"/>
    </row>
    <row r="22" spans="1:14" x14ac:dyDescent="0.25">
      <c r="A22" s="21">
        <f>Data!AM5</f>
        <v>46321</v>
      </c>
      <c r="B22" s="20">
        <f>Data!Z5</f>
        <v>24</v>
      </c>
      <c r="C22" s="20">
        <f>Data!AE5</f>
        <v>57</v>
      </c>
      <c r="D22" s="20">
        <f>Data!AE4</f>
        <v>41</v>
      </c>
      <c r="E22" s="3">
        <v>2</v>
      </c>
      <c r="F22" s="3">
        <v>15</v>
      </c>
      <c r="G22" s="3">
        <v>4</v>
      </c>
      <c r="H22" s="35">
        <v>0</v>
      </c>
      <c r="I22" s="22">
        <f t="shared" si="0"/>
        <v>38</v>
      </c>
      <c r="J22" s="65"/>
      <c r="K22" s="66"/>
      <c r="L22" s="78"/>
      <c r="M22" s="68"/>
      <c r="N22" s="69"/>
    </row>
    <row r="23" spans="1:14" x14ac:dyDescent="0.25">
      <c r="A23" s="21">
        <f>Data!AM6</f>
        <v>46322</v>
      </c>
      <c r="B23" s="20">
        <f>Data!Z6</f>
        <v>23</v>
      </c>
      <c r="C23" s="20">
        <f>Data!AE6</f>
        <v>46</v>
      </c>
      <c r="D23" s="20">
        <f>Data!AE5</f>
        <v>57</v>
      </c>
      <c r="E23" s="3">
        <v>0</v>
      </c>
      <c r="F23" s="3">
        <v>5</v>
      </c>
      <c r="G23" s="3">
        <v>4</v>
      </c>
      <c r="H23" s="35">
        <v>0</v>
      </c>
      <c r="I23" s="22">
        <f t="shared" si="0"/>
        <v>37</v>
      </c>
      <c r="J23" s="67"/>
      <c r="K23" s="66"/>
      <c r="L23" s="79"/>
      <c r="M23" s="66"/>
      <c r="N23" s="69"/>
    </row>
    <row r="24" spans="1:14" x14ac:dyDescent="0.25">
      <c r="A24" s="21">
        <f>Data!AM7</f>
        <v>46323</v>
      </c>
      <c r="B24" s="20">
        <f>Data!Z7</f>
        <v>43</v>
      </c>
      <c r="C24" s="20">
        <f>Data!AE7</f>
        <v>56</v>
      </c>
      <c r="D24" s="20">
        <f>Data!AE6</f>
        <v>46</v>
      </c>
      <c r="E24" s="3">
        <v>6</v>
      </c>
      <c r="F24" s="3">
        <v>4</v>
      </c>
      <c r="G24" s="3">
        <v>29</v>
      </c>
      <c r="H24" s="3">
        <v>0</v>
      </c>
      <c r="I24" s="22">
        <f t="shared" si="0"/>
        <v>23</v>
      </c>
      <c r="J24" s="23"/>
      <c r="K24" s="24"/>
      <c r="L24" s="24"/>
      <c r="M24" s="25"/>
      <c r="N24" s="26"/>
    </row>
    <row r="25" spans="1:14" ht="15.75" thickBot="1" x14ac:dyDescent="0.3">
      <c r="A25" s="21">
        <f>Data!AM8</f>
        <v>46324</v>
      </c>
      <c r="B25" s="20">
        <f>Data!Z8</f>
        <v>19</v>
      </c>
      <c r="C25" s="20">
        <f>Data!AE8</f>
        <v>37</v>
      </c>
      <c r="D25" s="20">
        <f>Data!AE7</f>
        <v>56</v>
      </c>
      <c r="E25" s="42">
        <v>3</v>
      </c>
      <c r="F25" s="42">
        <v>2</v>
      </c>
      <c r="G25" s="4">
        <v>4</v>
      </c>
      <c r="H25" s="43">
        <v>0</v>
      </c>
      <c r="I25" s="22">
        <f t="shared" si="0"/>
        <v>31</v>
      </c>
      <c r="J25" s="29"/>
      <c r="K25" s="30"/>
      <c r="L25" s="30"/>
      <c r="M25" s="31"/>
      <c r="N25" s="32"/>
    </row>
    <row r="26" spans="1:14" ht="16.5" hidden="1" thickTop="1" thickBot="1" x14ac:dyDescent="0.3">
      <c r="A26" s="27">
        <f>Data!AM9</f>
        <v>46325</v>
      </c>
      <c r="B26" s="28">
        <f>Data!Z9</f>
        <v>32</v>
      </c>
      <c r="C26" s="28">
        <f>Data!AE9</f>
        <v>64</v>
      </c>
      <c r="D26" s="28">
        <f>Data!AE8</f>
        <v>37</v>
      </c>
      <c r="E26" s="42"/>
      <c r="F26" s="42"/>
      <c r="G26" s="4"/>
      <c r="H26" s="43"/>
      <c r="I26" s="22">
        <f t="shared" si="0"/>
        <v>64</v>
      </c>
    </row>
    <row r="27" spans="1:14" ht="15.75" thickTop="1" x14ac:dyDescent="0.25"/>
  </sheetData>
  <mergeCells count="54">
    <mergeCell ref="A12:B12"/>
    <mergeCell ref="C12:D12"/>
    <mergeCell ref="F12:I12"/>
    <mergeCell ref="A14:B14"/>
    <mergeCell ref="C14:D14"/>
    <mergeCell ref="F14:I14"/>
    <mergeCell ref="A13:B13"/>
    <mergeCell ref="C13:D13"/>
    <mergeCell ref="F13:I13"/>
    <mergeCell ref="A10:B10"/>
    <mergeCell ref="C17:D17"/>
    <mergeCell ref="F17:I17"/>
    <mergeCell ref="A18:I18"/>
    <mergeCell ref="A17:B17"/>
    <mergeCell ref="A16:B16"/>
    <mergeCell ref="C16:D16"/>
    <mergeCell ref="F16:I16"/>
    <mergeCell ref="A15:B15"/>
    <mergeCell ref="C15:D15"/>
    <mergeCell ref="F15:I15"/>
    <mergeCell ref="C10:D10"/>
    <mergeCell ref="F10:I10"/>
    <mergeCell ref="A11:B11"/>
    <mergeCell ref="C11:D11"/>
    <mergeCell ref="F11:I11"/>
    <mergeCell ref="J22:K23"/>
    <mergeCell ref="M22:N23"/>
    <mergeCell ref="J17:N17"/>
    <mergeCell ref="J18:K18"/>
    <mergeCell ref="M18:N18"/>
    <mergeCell ref="J21:K21"/>
    <mergeCell ref="M21:N21"/>
    <mergeCell ref="J19:K20"/>
    <mergeCell ref="M19:N20"/>
    <mergeCell ref="L18:L23"/>
    <mergeCell ref="A6:B6"/>
    <mergeCell ref="C6:D6"/>
    <mergeCell ref="F6:I6"/>
    <mergeCell ref="A7:B7"/>
    <mergeCell ref="C7:D7"/>
    <mergeCell ref="F7:I7"/>
    <mergeCell ref="J1:N1"/>
    <mergeCell ref="J2:N3"/>
    <mergeCell ref="A4:I4"/>
    <mergeCell ref="J4:M4"/>
    <mergeCell ref="A5:B5"/>
    <mergeCell ref="C5:D5"/>
    <mergeCell ref="F5:I5"/>
    <mergeCell ref="A9:B9"/>
    <mergeCell ref="C9:D9"/>
    <mergeCell ref="F9:I9"/>
    <mergeCell ref="F8:I8"/>
    <mergeCell ref="C8:D8"/>
    <mergeCell ref="A8:B8"/>
  </mergeCells>
  <conditionalFormatting sqref="K25:L25">
    <cfRule type="expression" dxfId="0" priority="1">
      <formula>$K25&gt;699</formula>
    </cfRule>
  </conditionalFormatting>
  <pageMargins left="0.7" right="0.7" top="0.75" bottom="0.75" header="0.3" footer="0.3"/>
  <pageSetup paperSize="9" scale="61"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37CFDFD4A705A4DB527D6685684A7E7" ma:contentTypeVersion="3" ma:contentTypeDescription="Create a new document." ma:contentTypeScope="" ma:versionID="050bc4584f07512b09211526401d5dc2">
  <xsd:schema xmlns:xsd="http://www.w3.org/2001/XMLSchema" xmlns:xs="http://www.w3.org/2001/XMLSchema" xmlns:p="http://schemas.microsoft.com/office/2006/metadata/properties" xmlns:ns3="e34b68d2-d2bc-46cc-8ebb-af4546dd5ce1" targetNamespace="http://schemas.microsoft.com/office/2006/metadata/properties" ma:root="true" ma:fieldsID="3c621294bdfe5fe072cc5128b17d498b" ns3:_="">
    <xsd:import namespace="e34b68d2-d2bc-46cc-8ebb-af4546dd5ce1"/>
    <xsd:element name="properties">
      <xsd:complexType>
        <xsd:sequence>
          <xsd:element name="documentManagement">
            <xsd:complexType>
              <xsd:all>
                <xsd:element ref="ns3:MediaServiceMetadata" minOccurs="0"/>
                <xsd:element ref="ns3:MediaServiceFastMetadata"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4b68d2-d2bc-46cc-8ebb-af4546dd5ce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0"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e34b68d2-d2bc-46cc-8ebb-af4546dd5ce1" xsi:nil="true"/>
  </documentManagement>
</p:properties>
</file>

<file path=customXml/itemProps1.xml><?xml version="1.0" encoding="utf-8"?>
<ds:datastoreItem xmlns:ds="http://schemas.openxmlformats.org/officeDocument/2006/customXml" ds:itemID="{98B0A68E-5459-4D1B-97CF-05FC2C83C38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34b68d2-d2bc-46cc-8ebb-af4546dd5ce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CDC4A43-0C5C-4AAD-81B8-2EAF67E35238}">
  <ds:schemaRefs>
    <ds:schemaRef ds:uri="http://schemas.microsoft.com/sharepoint/v3/contenttype/forms"/>
  </ds:schemaRefs>
</ds:datastoreItem>
</file>

<file path=customXml/itemProps3.xml><?xml version="1.0" encoding="utf-8"?>
<ds:datastoreItem xmlns:ds="http://schemas.openxmlformats.org/officeDocument/2006/customXml" ds:itemID="{313BE0A6-EC44-458E-9915-17AE1EF0E865}">
  <ds:schemaRefs>
    <ds:schemaRef ds:uri="http://schemas.microsoft.com/office/2006/metadata/properties"/>
    <ds:schemaRef ds:uri="http://purl.org/dc/dcmitype/"/>
    <ds:schemaRef ds:uri="http://purl.org/dc/elements/1.1/"/>
    <ds:schemaRef ds:uri="http://schemas.openxmlformats.org/package/2006/metadata/core-properties"/>
    <ds:schemaRef ds:uri="http://schemas.microsoft.com/office/2006/documentManagement/types"/>
    <ds:schemaRef ds:uri="http://www.w3.org/XML/1998/namespace"/>
    <ds:schemaRef ds:uri="http://schemas.microsoft.com/office/infopath/2007/PartnerControls"/>
    <ds:schemaRef ds:uri="e34b68d2-d2bc-46cc-8ebb-af4546dd5ce1"/>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Data</vt:lpstr>
      <vt:lpstr>Trace Data</vt:lpstr>
      <vt:lpstr>WHH Briefing Sheet</vt:lpstr>
      <vt:lpstr>'WHH Briefing Sheet'!Print_Area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Nicolas Hardy</dc:creator>
  <cp:lastModifiedBy>Rachel Cox</cp:lastModifiedBy>
  <cp:lastPrinted>2026-10-16T07:59:46Z</cp:lastPrinted>
  <dcterms:created xsi:type="dcterms:W3CDTF">2023-06-17T10:12:45Z</dcterms:created>
  <dcterms:modified xsi:type="dcterms:W3CDTF">2026-10-23T08:14:58Z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0x010100537CFDFD4A705A4DB527D6685684A7E7</vt:lpwstr>
  </property>
</Properties>
</file>